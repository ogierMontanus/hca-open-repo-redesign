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729f4ac9c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jledning" sheetId="1" r:id="R613559d414534573"/>
    <x:sheet xmlns:r="http://schemas.openxmlformats.org/officeDocument/2006/relationships" name="Dagbogssider" sheetId="2" r:id="Ra716568e38df4ede"/>
    <x:sheet xmlns:r="http://schemas.openxmlformats.org/officeDocument/2006/relationships" name="Kalender" sheetId="3" r:id="R0a56f4fdec5b4cd3"/>
    <x:sheet xmlns:r="http://schemas.openxmlformats.org/officeDocument/2006/relationships" name="Personer" sheetId="4" r:id="Re5bc39f8435e4e1f"/>
    <x:sheet xmlns:r="http://schemas.openxmlformats.org/officeDocument/2006/relationships" name="PersonSide" sheetId="5" r:id="Raa06284f1acf4403"/>
    <x:sheet xmlns:r="http://schemas.openxmlformats.org/officeDocument/2006/relationships" name="Steder" sheetId="6" r:id="R6fc58838fb4a4efc"/>
    <x:sheet xmlns:r="http://schemas.openxmlformats.org/officeDocument/2006/relationships" name="StedSide" sheetId="7" r:id="R9d77013b721e4ce1"/>
    <x:sheet xmlns:r="http://schemas.openxmlformats.org/officeDocument/2006/relationships" name="Værker" sheetId="8" r:id="Reb7c71da1cdd4cad"/>
    <x:sheet xmlns:r="http://schemas.openxmlformats.org/officeDocument/2006/relationships" name="VærkSide" sheetId="9" r:id="Rd4c43d8680df4425"/>
    <x:sheet xmlns:r="http://schemas.openxmlformats.org/officeDocument/2006/relationships" name="JSON-mapping" sheetId="10" r:id="Rb4568e728a374b5e"/>
    <x:sheet xmlns:r="http://schemas.openxmlformats.org/officeDocument/2006/relationships" name="Kontrollister" sheetId="11" r:id="R5fbec5d242ae4934"/>
    <x:sheet xmlns:r="http://schemas.openxmlformats.org/officeDocument/2006/relationships" name="KalenderSide" sheetId="12" r:id="R35d94fea1f17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00"/>
  </x:numFmts>
  <x:fonts count="12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D6A62"/>
      <x:name val="Carlito"/>
    </x:font>
    <x:font>
      <x:b/>
      <x:sz val="11"/>
      <x:color rgb="FF155C60"/>
      <x:name val="Carlito"/>
    </x:font>
    <x:font>
      <x:sz val="11"/>
      <x:color rgb="FF252521"/>
      <x:name val="Carlito"/>
    </x:font>
    <x:font>
      <x:b/>
      <x:sz val="11"/>
      <x:color rgb="FF741E2B"/>
      <x:name val="Carlito"/>
    </x:font>
    <x:font>
      <x:b/>
      <x:sz val="11"/>
      <x:color rgb="FFFFFFFF"/>
      <x:name val="Carlito"/>
    </x:font>
    <x:font>
      <x:b/>
      <x:sz val="11"/>
      <x:color rgb="FF9A6813"/>
      <x:name val="Carlito"/>
    </x:font>
    <x:font>
      <x:b/>
      <x:sz val="9"/>
      <x:color rgb="FFFFFFFF"/>
      <x:name val="Carlito"/>
    </x:font>
    <x:font>
      <x:sz val="9"/>
      <x:color rgb="FF252521"/>
      <x:name val="Carlito"/>
    </x:font>
    <x:font>
      <x:b/>
      <x:sz val="24"/>
      <x:color rgb="FFFFFFFF"/>
      <x:name val="Carlito"/>
    </x:font>
    <x:font>
      <x:i/>
      <x:sz val="12"/>
      <x:color rgb="FF6F6B6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741E2B"/>
      </x:patternFill>
    </x:fill>
    <x:fill>
      <x:patternFill patternType="solid">
        <x:fgColor rgb="FFF5F0E5"/>
      </x:patternFill>
    </x:fill>
    <x:fill>
      <x:patternFill patternType="solid">
        <x:fgColor rgb="FFDCEBEA"/>
      </x:patternFill>
    </x:fill>
    <x:fill>
      <x:patternFill patternType="solid">
        <x:fgColor rgb="FFFFFDF7"/>
      </x:patternFill>
    </x:fill>
    <x:fill>
      <x:patternFill patternType="solid">
        <x:fgColor rgb="FFF1E0E1"/>
      </x:patternFill>
    </x:fill>
    <x:fill>
      <x:patternFill patternType="solid">
        <x:fgColor rgb="FF155C60"/>
      </x:patternFill>
    </x:fill>
    <x:fill>
      <x:patternFill patternType="solid">
        <x:fgColor rgb="FFF3E8CA"/>
      </x:patternFill>
    </x:fill>
    <x:fill>
      <x:patternFill patternType="solid">
        <x:fgColor rgb="FFEAF2F5"/>
      </x:patternFill>
    </x:fill>
    <x:fill>
      <x:patternFill patternType="solid">
        <x:fgColor rgb="FF7C1D2B"/>
      </x:patternFill>
    </x:fill>
    <x:fill>
      <x:patternFill patternType="solid">
        <x:fgColor rgb="FF12676B"/>
      </x:patternFill>
    </x:fill>
  </x:fills>
  <x:borders count="15">
    <x:border/>
    <x:border>
      <x:right style="thin">
        <x:color rgb="FFD9CFBD"/>
      </x:right>
      <x:bottom style="thin">
        <x:color rgb="FFD9CFBD"/>
      </x:bottom>
    </x:border>
    <x:border>
      <x:left style="thin">
        <x:color rgb="FFD9CFBD"/>
      </x:left>
      <x:right style="thin">
        <x:color rgb="FFD9CFBD"/>
      </x:right>
      <x:bottom style="thin">
        <x:color rgb="FFD9CFBD"/>
      </x:bottom>
    </x:border>
    <x:border>
      <x:left style="thin">
        <x:color rgb="FFD9CFBD"/>
      </x:left>
      <x:bottom style="thin">
        <x:color rgb="FFD9CFBD"/>
      </x:bottom>
    </x:border>
    <x:border>
      <x:right style="thin">
        <x:color rgb="FFD9CFBD"/>
      </x:right>
      <x:top style="thin">
        <x:color rgb="FFD9CFBD"/>
      </x:top>
      <x:bottom style="thin">
        <x:color rgb="FFD9CFBD"/>
      </x:bottom>
    </x:border>
    <x:border>
      <x:left style="thin">
        <x:color rgb="FFD9CFBD"/>
      </x:left>
      <x:right style="thin">
        <x:color rgb="FFD9CFBD"/>
      </x:right>
      <x:top style="thin">
        <x:color rgb="FFD9CFBD"/>
      </x:top>
      <x:bottom style="thin">
        <x:color rgb="FFD9CFBD"/>
      </x:bottom>
    </x:border>
    <x:border>
      <x:left style="thin">
        <x:color rgb="FFD9CFBD"/>
      </x:left>
      <x:top style="thin">
        <x:color rgb="FFD9CFBD"/>
      </x:top>
      <x:bottom style="thin">
        <x:color rgb="FFD9CFBD"/>
      </x:bottom>
    </x:border>
    <x:border>
      <x:right style="thin">
        <x:color rgb="FFD9CFBD"/>
      </x:right>
      <x:top style="thin">
        <x:color rgb="FFD9CFBD"/>
      </x:top>
    </x:border>
    <x:border>
      <x:left style="thin">
        <x:color rgb="FFD9CFBD"/>
      </x:left>
      <x:right style="thin">
        <x:color rgb="FFD9CFBD"/>
      </x:right>
      <x:top style="thin">
        <x:color rgb="FFD9CFBD"/>
      </x:top>
    </x:border>
    <x:border>
      <x:left style="thin">
        <x:color rgb="FFD9CFBD"/>
      </x:left>
      <x:top style="thin">
        <x:color rgb="FFD9CFBD"/>
      </x:top>
    </x:border>
    <x:border>
      <x:left style="thin">
        <x:color rgb="FF58B9E8"/>
      </x:left>
      <x:top style="thin">
        <x:color rgb="FF58B9E8"/>
      </x:top>
      <x:bottom style="thin">
        <x:color rgb="FF58B9E8"/>
      </x:bottom>
    </x:border>
    <x:border>
      <x:top style="thin">
        <x:color rgb="FF58B9E8"/>
      </x:top>
      <x:bottom style="thin">
        <x:color rgb="FF58B9E8"/>
      </x:bottom>
    </x:border>
    <x:border>
      <x:right style="thin">
        <x:color rgb="FF58B9E8"/>
      </x:right>
      <x:top style="thin">
        <x:color rgb="FF58B9E8"/>
      </x:top>
      <x:bottom style="thin">
        <x:color rgb="FF58B9E8"/>
      </x:bottom>
    </x:border>
    <x:border>
      <x:right style="thin">
        <x:color rgb="FFD9CFBD"/>
      </x:right>
      <x:top style="thin">
        <x:color rgb="FFD9CFBD"/>
      </x:top>
      <x:bottom style="thin">
        <x:color rgb="FFD4CBC0"/>
      </x:bottom>
    </x:border>
    <x:border>
      <x:left style="thin">
        <x:color rgb="FFD9CFBD"/>
      </x:left>
      <x:right style="thin">
        <x:color rgb="FFD9CFBD"/>
      </x:right>
      <x:top style="thin">
        <x:color rgb="FFD9CFBD"/>
      </x:top>
      <x:bottom style="thin">
        <x:color rgb="FFD4CBC0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7" fillId="8" borderId="4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5" fillId="6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/>
    </x:xf>
    <x:xf numFmtId="0" fontId="5" fillId="6" borderId="6" xfId="0" applyNumberFormat="1" applyFont="1" applyFill="1" applyBorder="1" applyAlignment="1">
      <x:alignment vertical="top"/>
    </x:xf>
    <x:xf numFmtId="0" fontId="6" fillId="7" borderId="4" xfId="0" applyNumberFormat="1" applyFont="1" applyFill="1" applyBorder="1" applyAlignment="1">
      <x:alignment vertical="top"/>
    </x:xf>
    <x:xf numFmtId="0" fontId="6" fillId="7" borderId="5" xfId="0" applyNumberFormat="1" applyFont="1" applyFill="1" applyBorder="1" applyAlignment="1">
      <x:alignment vertical="top"/>
    </x:xf>
    <x:xf numFmtId="0" fontId="6" fillId="7" borderId="6" xfId="0" applyNumberFormat="1" applyFont="1" applyFill="1" applyBorder="1" applyAlignment="1">
      <x:alignment vertical="top"/>
    </x:xf>
    <x:xf numFmtId="0" fontId="7" fillId="8" borderId="4" xfId="0" applyNumberFormat="1" applyFont="1" applyFill="1" applyBorder="1" applyAlignment="1">
      <x:alignment horizontal="center" vertical="top"/>
    </x:xf>
    <x:xf numFmtId="0" fontId="4" fillId="5" borderId="6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horizontal="center" vertical="top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9" fillId="0" borderId="0" xfId="0" applyNumberFormat="1" applyFont="1" applyFill="1" applyBorder="1"/>
    <x:xf numFmtId="0" fontId="9" fillId="8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/>
    </x:xf>
    <x:xf numFmtId="0" fontId="9" fillId="9" borderId="0" xfId="0" applyNumberFormat="1" applyFont="1" applyFill="1" applyBorder="1" applyAlignment="1">
      <x:alignment vertical="top"/>
    </x:xf>
    <x:xf numFmtId="200" fontId="9" fillId="8" borderId="0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vertical="top"/>
    </x:xf>
    <x:xf numFmtId="0" fontId="9" fillId="9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200" fontId="9" fillId="8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8" borderId="0" xfId="0" applyNumberFormat="1" applyFont="1" applyFill="1" applyBorder="1" applyAlignment="1">
      <x:alignment vertical="top"/>
    </x:xf>
    <x:xf numFmtId="201" fontId="9" fillId="0" borderId="0" xfId="0" applyNumberFormat="1" applyFont="1" applyFill="1" applyBorder="1" applyAlignment="1">
      <x:alignment vertical="top"/>
    </x:xf>
    <x:xf numFmtId="200" fontId="9" fillId="9" borderId="0" xfId="0" applyNumberFormat="1" applyFont="1" applyFill="1" applyBorder="1" applyAlignment="1">
      <x:alignment vertical="top"/>
    </x:xf>
    <x:xf numFmtId="201" fontId="9" fillId="8" borderId="0" xfId="0" applyNumberFormat="1" applyFont="1" applyFill="1" applyBorder="1" applyAlignment="1">
      <x:alignment vertical="top" wrapText="1"/>
    </x:xf>
    <x:xf numFmtId="200" fontId="9" fillId="9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2" fontId="9" fillId="8" borderId="0" xfId="0" applyNumberFormat="1" applyFont="1" applyFill="1" applyBorder="1" applyAlignment="1">
      <x:alignment vertical="top"/>
    </x:xf>
    <x:xf numFmtId="202" fontId="9" fillId="0" borderId="0" xfId="0" applyNumberFormat="1" applyFont="1" applyFill="1" applyBorder="1" applyAlignment="1">
      <x:alignment vertical="top"/>
    </x:xf>
    <x:xf numFmtId="202" fontId="9" fillId="8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1" borderId="10" xfId="0" applyNumberFormat="1" applyFont="1" applyFill="1" applyBorder="1" applyAlignment="1">
      <x:alignment vertical="center" wrapText="1"/>
    </x:xf>
    <x:xf numFmtId="0" fontId="8" fillId="11" borderId="11" xfId="0" applyNumberFormat="1" applyFont="1" applyFill="1" applyBorder="1" applyAlignment="1">
      <x:alignment vertical="center" wrapText="1"/>
    </x:xf>
    <x:xf numFmtId="0" fontId="8" fillId="11" borderId="1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10" xfId="0" applyNumberFormat="1" applyFont="1" applyFill="1" applyBorder="1"/>
    <x:xf numFmtId="0" fontId="6" fillId="11" borderId="11" xfId="0" applyNumberFormat="1" applyFont="1" applyFill="1" applyBorder="1"/>
    <x:xf numFmtId="0" fontId="6" fillId="11" borderId="12" xfId="0" applyNumberFormat="1" applyFont="1" applyFill="1" applyBorder="1"/>
    <x:xf numFmtId="0" fontId="6" fillId="11" borderId="10" xfId="0" applyNumberFormat="1" applyFont="1" applyFill="1" applyBorder="1" applyAlignment="1">
      <x:alignment wrapText="1"/>
    </x:xf>
    <x:xf numFmtId="0" fontId="6" fillId="11" borderId="11" xfId="0" applyNumberFormat="1" applyFont="1" applyFill="1" applyBorder="1" applyAlignment="1">
      <x:alignment wrapText="1"/>
    </x:xf>
    <x:xf numFmtId="0" fontId="6" fillId="11" borderId="12" xfId="0" applyNumberFormat="1" applyFont="1" applyFill="1" applyBorder="1" applyAlignment="1">
      <x:alignment wrapText="1"/>
    </x:xf>
    <x:xf numFmtId="0" fontId="6" fillId="11" borderId="10" xfId="0" applyNumberFormat="1" applyFont="1" applyFill="1" applyBorder="1" applyAlignment="1">
      <x:alignment vertical="center" wrapText="1"/>
    </x:xf>
    <x:xf numFmtId="0" fontId="6" fillId="11" borderId="11" xfId="0" applyNumberFormat="1" applyFont="1" applyFill="1" applyBorder="1" applyAlignment="1">
      <x:alignment vertical="center" wrapText="1"/>
    </x:xf>
    <x:xf numFmtId="0" fontId="6" fillId="11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5771c492744bb" /><Relationship Type="http://schemas.openxmlformats.org/officeDocument/2006/relationships/theme" Target="/xl/theme/theme1.xml" Id="R6812e695de624755" /><Relationship Type="http://schemas.openxmlformats.org/officeDocument/2006/relationships/sharedStrings" Target="/xl/sharedStrings.xml" Id="Ra1e543e2efc84a25" /><Relationship Type="http://schemas.openxmlformats.org/officeDocument/2006/relationships/worksheet" Target="/xl/worksheets/sheet1.xml" Id="R613559d414534573" /><Relationship Type="http://schemas.openxmlformats.org/officeDocument/2006/relationships/worksheet" Target="/xl/worksheets/sheet2.xml" Id="Ra716568e38df4ede" /><Relationship Type="http://schemas.openxmlformats.org/officeDocument/2006/relationships/worksheet" Target="/xl/worksheets/sheet3.xml" Id="R0a56f4fdec5b4cd3" /><Relationship Type="http://schemas.openxmlformats.org/officeDocument/2006/relationships/worksheet" Target="/xl/worksheets/sheet4.xml" Id="Re5bc39f8435e4e1f" /><Relationship Type="http://schemas.openxmlformats.org/officeDocument/2006/relationships/worksheet" Target="/xl/worksheets/sheet5.xml" Id="Raa06284f1acf4403" /><Relationship Type="http://schemas.openxmlformats.org/officeDocument/2006/relationships/worksheet" Target="/xl/worksheets/sheet6.xml" Id="R6fc58838fb4a4efc" /><Relationship Type="http://schemas.openxmlformats.org/officeDocument/2006/relationships/worksheet" Target="/xl/worksheets/sheet7.xml" Id="R9d77013b721e4ce1" /><Relationship Type="http://schemas.openxmlformats.org/officeDocument/2006/relationships/worksheet" Target="/xl/worksheets/sheet8.xml" Id="Reb7c71da1cdd4cad" /><Relationship Type="http://schemas.openxmlformats.org/officeDocument/2006/relationships/worksheet" Target="/xl/worksheets/sheet9.xml" Id="Rd4c43d8680df4425" /><Relationship Type="http://schemas.openxmlformats.org/officeDocument/2006/relationships/worksheet" Target="/xl/worksheets/sheet10.xml" Id="Rb4568e728a374b5e" /><Relationship Type="http://schemas.openxmlformats.org/officeDocument/2006/relationships/worksheet" Target="/xl/worksheets/sheet11.xml" Id="R5fbec5d242ae4934" /><Relationship Type="http://schemas.openxmlformats.org/officeDocument/2006/relationships/worksheet" Target="/xl/worksheets/sheet12.xml" Id="R35d94fea1f174a7a" /></Relationships>
</file>

<file path=xl/tables/table1.xml><?xml version="1.0" encoding="utf-8"?>
<x:table xmlns:x="http://schemas.openxmlformats.org/spreadsheetml/2006/main" id="1" name="LoadOrderTable" displayName="LoadOrderTable" ref="A11:F21" headerRowCount="1" totalsRowCount="0" totalsRowShown="0">
  <x:tableColumns count="6">
    <x:tableColumn id="1" name="Trin"/>
    <x:tableColumn id="2" name="Fane"/>
    <x:tableColumn id="3" name="Primær nøgle"/>
    <x:tableColumn id="4" name="Påkrævet"/>
    <x:tableColumn id="5" name="Relation"/>
    <x:tableColumn id="6" name="Bemærk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ryPagesTable" displayName="DiaryPagesTable" ref="A4:H29" headerRowCount="1" totalsRowCount="0" totalsRowShown="0">
  <x:autoFilter ref="A4:H29"/>
  <x:tableColumns count="8">
    <x:tableColumn id="1" name="PageKey*"/>
    <x:tableColumn id="2" name="VolRef*"/>
    <x:tableColumn id="3" name="PageRef*"/>
    <x:tableColumn id="4" name="DiaryYearLabel"/>
    <x:tableColumn id="5" name="KBUrl*"/>
    <x:tableColumn id="6" name="RegisterSummary"/>
    <x:tableColumn id="7" name="ContentSummary"/>
    <x:tableColumn id="8" name="SourceStatus*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CalendarDatesTable" displayName="CalendarDatesTable" ref="A4:G29" headerRowCount="1" totalsRowCount="0" totalsRowShown="0">
  <x:tableColumns count="7">
    <x:tableColumn id="1" name="CalendarKey*"/>
    <x:tableColumn id="2" name="DiaryDateISO*"/>
    <x:tableColumn id="3" name="DiaryYear*"/>
    <x:tableColumn id="4" name="DiaryMonth*"/>
    <x:tableColumn id="5" name="DiaryDay*"/>
    <x:tableColumn id="6" name="Weekday*"/>
    <x:tableColumn id="7" name="DateStatus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sonsTable" displayName="PersonsTable" ref="A4:I29" headerRowCount="1" totalsRowCount="0" totalsRowShown="0">
  <x:autoFilter ref="A4:I29"/>
  <x:tableColumns count="9">
    <x:tableColumn id="1" name="PersonID*"/>
    <x:tableColumn id="2" name="PersonTitle*"/>
    <x:tableColumn id="3" name="PersonDescription"/>
    <x:tableColumn id="4" name="BirthYear"/>
    <x:tableColumn id="5" name="DeathYear"/>
    <x:tableColumn id="6" name="Age"/>
    <x:tableColumn id="7" name="See"/>
    <x:tableColumn id="8" name="SeeAlso"/>
    <x:tableColumn id="9" name="SourceStatus*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PageBridgeTable" displayName="PersonPageBridgeTable" ref="A4:G29" headerRowCount="1" totalsRowCount="0" totalsRowShown="0">
  <x:autoFilter ref="A4:G29"/>
  <x:tableColumns count="7">
    <x:tableColumn id="1" name="PersonPageKey*"/>
    <x:tableColumn id="2" name="PersonID*"/>
    <x:tableColumn id="3" name="PageKey*"/>
    <x:tableColumn id="4" name="VolRef"/>
    <x:tableColumn id="5" name="PageRef"/>
    <x:tableColumn id="6" name="SourceReference"/>
    <x:tableColumn id="7" name="RelationStatus*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cationsTable" displayName="LocationsTable" ref="A4:I29" headerRowCount="1" totalsRowCount="0" totalsRowShown="0">
  <x:autoFilter ref="A4:I29"/>
  <x:tableColumns count="9">
    <x:tableColumn id="1" name="LocationID*"/>
    <x:tableColumn id="2" name="LocationTitle*"/>
    <x:tableColumn id="3" name="CountryArea"/>
    <x:tableColumn id="4" name="PlaceType*"/>
    <x:tableColumn id="5" name="GeoNamesID"/>
    <x:tableColumn id="6" name="WikidataID"/>
    <x:tableColumn id="7" name="Latitude"/>
    <x:tableColumn id="8" name="Longitude"/>
    <x:tableColumn id="9" name="SourceStatus*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ocationPageBridgeTable" displayName="LocationPageBridgeTable" ref="A4:E29" headerRowCount="1" totalsRowCount="0" totalsRowShown="0">
  <x:autoFilter ref="A4:E29"/>
  <x:tableColumns count="5">
    <x:tableColumn id="1" name="LocationPageKey*"/>
    <x:tableColumn id="2" name="LocationID*"/>
    <x:tableColumn id="3" name="PageKey*"/>
    <x:tableColumn id="4" name="SourceReference"/>
    <x:tableColumn id="5" name="RelationStatus*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orksTable" displayName="WorksTable" ref="A4:H29" headerRowCount="1" totalsRowCount="0" totalsRowShown="0">
  <x:autoFilter ref="A4:H29"/>
  <x:tableColumns count="8">
    <x:tableColumn id="1" name="WorkID*"/>
    <x:tableColumn id="2" name="WorkTitle*"/>
    <x:tableColumn id="3" name="ArtistCreator"/>
    <x:tableColumn id="4" name="MuseumCollection"/>
    <x:tableColumn id="5" name="Genre"/>
    <x:tableColumn id="6" name="Form"/>
    <x:tableColumn id="7" name="SubForm"/>
    <x:tableColumn id="8" name="SourceStatus*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PageBridgeTable" displayName="WorkPageBridgeTable" ref="A4:E29" headerRowCount="1" totalsRowCount="0" totalsRowShown="0">
  <x:autoFilter ref="A4:E29"/>
  <x:tableColumns count="5">
    <x:tableColumn id="1" name="WorkPageKey*"/>
    <x:tableColumn id="2" name="WorkID*"/>
    <x:tableColumn id="3" name="PageKey*"/>
    <x:tableColumn id="4" name="SourceReference"/>
    <x:tableColumn id="5" name="RelationStatus*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JsonMappingTable" displayName="JsonMappingTable" ref="A4:F34" headerRowCount="1" totalsRowCount="0" totalsRowShown="0">
  <x:tableColumns count="6">
    <x:tableColumn id="1" name="Excel-fane"/>
    <x:tableColumn id="2" name="Excel-felt"/>
    <x:tableColumn id="3" name="JSON-sti"/>
    <x:tableColumn id="4" name="Datatype"/>
    <x:tableColumn id="5" name="Påkrævet"/>
    <x:tableColumn id="6" name="Transformationsrege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CalendarPageLinksTable" displayName="CalendarPageLinksTable" ref="A4:E29" headerRowCount="1" totalsRowCount="0" totalsRowShown="0">
  <x:tableColumns count="5">
    <x:tableColumn id="1" name="CalendarPageKey*"/>
    <x:tableColumn id="2" name="CalendarKey*"/>
    <x:tableColumn id="3" name="PageKey*"/>
    <x:tableColumn id="4" name="SourceReference"/>
    <x:tableColumn id="5" name="RelationStatus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b9e0968e73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a9e425651a47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d2cc65932745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fbfdd46aa744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37297b310349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6e7e5f8db74e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092e80b9c54e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0f588b1b8af46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c79b69c8142498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85e289c197044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044fb93971649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33.33000183105469" hidden="0" customWidth="1"/>
    <x:col min="3" max="3" width="17.219999313354492" hidden="0" customWidth="1"/>
    <x:col min="4" max="4" width="10" hidden="0" customWidth="1"/>
    <x:col min="5" max="5" width="20" hidden="0" customWidth="1"/>
    <x:col min="6" max="6" width="36.66999816894531" hidden="0" customWidth="1"/>
  </x:cols>
  <x:sheetData>
    <x:row r="1" ht="31" customHeight="1">
      <x:c r="A1" s="3" t="str">
        <x:v>H.C. Andersen – Excel-dataskabelon</x:v>
      </x:c>
      <x:c r="B1" s="3"/>
      <x:c r="C1" s="3"/>
      <x:c r="D1" s="3"/>
      <x:c r="E1" s="3"/>
      <x:c r="F1" s="3"/>
    </x:row>
    <x:row r="2" ht="34" customHeight="1">
      <x:c r="A2" s="7" t="str">
        <x:v>Normaliseret indlæsningsskabelon til datagrundlaget for Intelligent pivot. Eksempelrækker er markeret med gul baggrund og skal erstattes eller slettes før indlæsning.</x:v>
      </x:c>
      <x:c r="B2" s="7"/>
      <x:c r="C2" s="7"/>
      <x:c r="D2" s="7"/>
      <x:c r="E2" s="7"/>
      <x:c r="F2" s="7"/>
    </x:row>
    <x:row r="4" ht="42" customHeight="1">
      <x:c r="A4" s="41" t="str">
        <x:v>Formål</x:v>
      </x:c>
      <x:c r="B4" s="42" t="str">
        <x:v>Fælles struktur til dagbogssider, kalenderdata, personer, steder, værker og deres sidekoblinger.</x:v>
      </x:c>
      <x:c r="C4" s="61"/>
      <x:c r="D4" s="61"/>
      <x:c r="E4" s="61"/>
      <x:c r="F4" s="62"/>
    </x:row>
    <x:row r="5" ht="48" customHeight="1">
      <x:c r="A5" s="45" t="str">
        <x:v>Aktuelt registergrundlag</x:v>
      </x:c>
      <x:c r="B5" s="46" t="str">
        <x:v>1-TestLinkVolPag-PQ(1).xlsx</x:v>
      </x:c>
      <x:c r="C5" s="63"/>
      <x:c r="D5" s="63"/>
      <x:c r="E5" s="63"/>
      <x:c r="F5" s="64"/>
    </x:row>
    <x:row r="6" ht="48" customHeight="1">
      <x:c r="A6" s="45" t="str">
        <x:v>Aktuelt kalendergrundlag</x:v>
      </x:c>
      <x:c r="B6" s="46" t="str">
        <x:v>01-1-KBDiaryLinkData-PQ-links-active.xlsm</x:v>
      </x:c>
      <x:c r="C6" s="63"/>
      <x:c r="D6" s="63"/>
      <x:c r="E6" s="63"/>
      <x:c r="F6" s="64"/>
    </x:row>
    <x:row r="7" ht="48" customHeight="1">
      <x:c r="A7" s="45" t="str">
        <x:v>Runtime-format</x:v>
      </x:c>
      <x:c r="B7" s="46" t="str">
        <x:v>hca-pivot-data.json – kompakt læsemodel genereret fra Excel-kilderne</x:v>
      </x:c>
      <x:c r="C7" s="63"/>
      <x:c r="D7" s="63"/>
      <x:c r="E7" s="63"/>
      <x:c r="F7" s="64"/>
    </x:row>
    <x:row r="8" ht="26" customHeight="1">
      <x:c r="A8" s="45" t="str">
        <x:v>Kildetekst</x:v>
      </x:c>
      <x:c r="B8" s="46" t="str">
        <x:v>https://epub3.kb.dk/hcadag</x:v>
      </x:c>
      <x:c r="C8" s="63"/>
      <x:c r="D8" s="63"/>
      <x:c r="E8" s="63"/>
      <x:c r="F8" s="64"/>
    </x:row>
    <x:row r="9">
      <x:c r="A9" s="65"/>
      <x:c r="B9" s="63"/>
      <x:c r="C9" s="63"/>
      <x:c r="D9" s="63"/>
      <x:c r="E9" s="63"/>
      <x:c r="F9" s="64"/>
    </x:row>
    <x:row r="10">
      <x:c r="A10" s="66" t="str">
        <x:v>Anbefalet indlæsningsrækkefølge</x:v>
      </x:c>
      <x:c r="B10" s="67"/>
      <x:c r="C10" s="67"/>
      <x:c r="D10" s="67"/>
      <x:c r="E10" s="67"/>
      <x:c r="F10" s="68"/>
    </x:row>
    <x:row r="11">
      <x:c r="A11" s="69" t="str">
        <x:v>Trin</x:v>
      </x:c>
      <x:c r="B11" s="70" t="str">
        <x:v>Fane</x:v>
      </x:c>
      <x:c r="C11" s="70" t="str">
        <x:v>Primær nøgle</x:v>
      </x:c>
      <x:c r="D11" s="70" t="str">
        <x:v>Påkrævet</x:v>
      </x:c>
      <x:c r="E11" s="70" t="str">
        <x:v>Relation</x:v>
      </x:c>
      <x:c r="F11" s="71" t="str">
        <x:v>Bemærkning</x:v>
      </x:c>
    </x:row>
    <x:row r="12">
      <x:c r="A12" s="65" t="n">
        <x:v>1</x:v>
      </x:c>
      <x:c r="B12" s="63" t="str">
        <x:v>Dagbogssider</x:v>
      </x:c>
      <x:c r="C12" s="63" t="str">
        <x:v>PageKey</x:v>
      </x:c>
      <x:c r="D12" s="63" t="str">
        <x:v>Ja</x:v>
      </x:c>
      <x:c r="E12" s="63" t="str">
        <x:v>–</x:v>
      </x:c>
      <x:c r="F12" s="64" t="str">
        <x:v>Én række pr. bind og trykt dagbogsside.</x:v>
      </x:c>
    </x:row>
    <x:row r="13">
      <x:c r="A13" s="65" t="n">
        <x:v>2</x:v>
      </x:c>
      <x:c r="B13" s="63" t="str">
        <x:v>Kalender</x:v>
      </x:c>
      <x:c r="C13" s="63" t="str">
        <x:v>CalendarKey</x:v>
      </x:c>
      <x:c r="D13" s="63" t="str">
        <x:v>Ja</x:v>
      </x:c>
      <x:c r="E13" s="63" t="str">
        <x:v>–</x:v>
      </x:c>
      <x:c r="F13" s="64" t="str">
        <x:v>Én række pr. unik kalenderdato.</x:v>
      </x:c>
    </x:row>
    <x:row r="14">
      <x:c r="A14" s="65" t="n">
        <x:v>3</x:v>
      </x:c>
      <x:c r="B14" s="63" t="str">
        <x:v>KalenderSide</x:v>
      </x:c>
      <x:c r="C14" s="63" t="str">
        <x:v>CalendarKey + PageKey</x:v>
      </x:c>
      <x:c r="D14" s="63" t="str">
        <x:v>Ja</x:v>
      </x:c>
      <x:c r="E14" s="63" t="str">
        <x:v>Kalender + Dagbogssider</x:v>
      </x:c>
      <x:c r="F14" s="64" t="str">
        <x:v>Mange-til-mange-bro.</x:v>
      </x:c>
    </x:row>
    <x:row r="15">
      <x:c r="A15" s="65" t="n">
        <x:v>4</x:v>
      </x:c>
      <x:c r="B15" s="63" t="str">
        <x:v>Personer</x:v>
      </x:c>
      <x:c r="C15" s="63" t="str">
        <x:v>PersonID</x:v>
      </x:c>
      <x:c r="D15" s="63" t="str">
        <x:v>Ja</x:v>
      </x:c>
      <x:c r="E15" s="63" t="str">
        <x:v>–</x:v>
      </x:c>
      <x:c r="F15" s="64" t="str">
        <x:v>Én række pr. registerperson.</x:v>
      </x:c>
    </x:row>
    <x:row r="16">
      <x:c r="A16" s="65" t="n">
        <x:v>5</x:v>
      </x:c>
      <x:c r="B16" s="63" t="str">
        <x:v>PersonSide</x:v>
      </x:c>
      <x:c r="C16" s="63" t="str">
        <x:v>PersonID + PageKey</x:v>
      </x:c>
      <x:c r="D16" s="63" t="str">
        <x:v>Ja</x:v>
      </x:c>
      <x:c r="E16" s="63" t="str">
        <x:v>Personer + Dagbogssider</x:v>
      </x:c>
      <x:c r="F16" s="64" t="str">
        <x:v>Mange-til-mange-bro.</x:v>
      </x:c>
    </x:row>
    <x:row r="17">
      <x:c r="A17" s="65" t="n">
        <x:v>6</x:v>
      </x:c>
      <x:c r="B17" s="63" t="str">
        <x:v>Steder</x:v>
      </x:c>
      <x:c r="C17" s="63" t="str">
        <x:v>LocationID</x:v>
      </x:c>
      <x:c r="D17" s="63" t="str">
        <x:v>Ja</x:v>
      </x:c>
      <x:c r="E17" s="63" t="str">
        <x:v>–</x:v>
      </x:c>
      <x:c r="F17" s="64" t="str">
        <x:v>Én række pr. normaliseret sted.</x:v>
      </x:c>
    </x:row>
    <x:row r="18">
      <x:c r="A18" s="65" t="n">
        <x:v>7</x:v>
      </x:c>
      <x:c r="B18" s="63" t="str">
        <x:v>StedSide</x:v>
      </x:c>
      <x:c r="C18" s="63" t="str">
        <x:v>LocationID + PageKey</x:v>
      </x:c>
      <x:c r="D18" s="63" t="str">
        <x:v>Ja</x:v>
      </x:c>
      <x:c r="E18" s="63" t="str">
        <x:v>Steder + Dagbogssider</x:v>
      </x:c>
      <x:c r="F18" s="64" t="str">
        <x:v>Mange-til-mange-bro.</x:v>
      </x:c>
    </x:row>
    <x:row r="19">
      <x:c r="A19" s="65" t="n">
        <x:v>8</x:v>
      </x:c>
      <x:c r="B19" s="63" t="str">
        <x:v>Værker</x:v>
      </x:c>
      <x:c r="C19" s="63" t="str">
        <x:v>WorkID</x:v>
      </x:c>
      <x:c r="D19" s="63" t="str">
        <x:v>Ja</x:v>
      </x:c>
      <x:c r="E19" s="63" t="str">
        <x:v>–</x:v>
      </x:c>
      <x:c r="F19" s="64" t="str">
        <x:v>Én række pr. normaliseret værk.</x:v>
      </x:c>
    </x:row>
    <x:row r="20">
      <x:c r="A20" s="65" t="n">
        <x:v>9</x:v>
      </x:c>
      <x:c r="B20" s="63" t="str">
        <x:v>VærkSide</x:v>
      </x:c>
      <x:c r="C20" s="63" t="str">
        <x:v>WorkID + PageKey</x:v>
      </x:c>
      <x:c r="D20" s="63" t="str">
        <x:v>Ja</x:v>
      </x:c>
      <x:c r="E20" s="63" t="str">
        <x:v>Værker + Dagbogssider</x:v>
      </x:c>
      <x:c r="F20" s="64" t="str">
        <x:v>Mange-til-mange-bro.</x:v>
      </x:c>
    </x:row>
    <x:row r="21">
      <x:c r="A21" s="65" t="n">
        <x:v>10</x:v>
      </x:c>
      <x:c r="B21" s="63" t="str">
        <x:v>JSON-mapping</x:v>
      </x:c>
      <x:c r="C21" s="63" t="str">
        <x:v>–</x:v>
      </x:c>
      <x:c r="D21" s="63" t="str">
        <x:v>Nej</x:v>
      </x:c>
      <x:c r="E21" s="63" t="str">
        <x:v>Alle faner</x:v>
      </x:c>
      <x:c r="F21" s="64" t="str">
        <x:v>Dokumenterer transformationen til sitets kompakte JSON.</x:v>
      </x:c>
    </x:row>
    <x:row r="22">
      <x:c r="A22" s="133" t="n">
        <x:v>11</x:v>
      </x:c>
      <x:c r="B22" s="134" t="str">
        <x:v>Kontrollister</x:v>
      </x:c>
      <x:c r="C22" s="134" t="str">
        <x:v>–</x:v>
      </x:c>
      <x:c r="D22" s="134" t="str">
        <x:v>Ja</x:v>
      </x:c>
      <x:c r="E22" s="134" t="str">
        <x:v>Valideringsfelter</x:v>
      </x:c>
      <x:c r="F22" s="134" t="str">
        <x:v>Tilladte værdier til dropdownfelter.</x:v>
      </x:c>
    </x:row>
    <x:row r="23">
      <x:c r="A23" s="66" t="str">
        <x:v>Kvalitetskrav før eksport</x:v>
      </x:c>
      <x:c r="B23" s="67"/>
      <x:c r="C23" s="67"/>
      <x:c r="D23" s="67"/>
      <x:c r="E23" s="67"/>
      <x:c r="F23" s="68"/>
    </x:row>
    <x:row r="24">
      <x:c r="A24" s="72" t="str">
        <x:v>01</x:v>
      </x:c>
      <x:c r="B24" s="46" t="str">
        <x:v>PageKey skal være entydig og bestå af VolRef + PageRef.</x:v>
      </x:c>
      <x:c r="C24" s="46"/>
      <x:c r="D24" s="46"/>
      <x:c r="E24" s="46"/>
      <x:c r="F24" s="57"/>
    </x:row>
    <x:row r="25">
      <x:c r="A25" s="72" t="str">
        <x:v>02</x:v>
      </x:c>
      <x:c r="B25" s="46" t="str">
        <x:v>Alle brotabeller skal pege på eksisterende entitetsnøgler og PageKey-værdier.</x:v>
      </x:c>
      <x:c r="C25" s="46"/>
      <x:c r="D25" s="46"/>
      <x:c r="E25" s="46"/>
      <x:c r="F25" s="57"/>
    </x:row>
    <x:row r="26">
      <x:c r="A26" s="72" t="str">
        <x:v>03</x:v>
      </x:c>
      <x:c r="B26" s="46" t="str">
        <x:v>Datoer før 1900 lagres som ISO-tekst (YYYY-MM-DD), fordi Excels serielle datosystem ikke understøtter dem pålideligt. År, måned og dag beregnes med formler; ugedag vælges fra kontrollisten.</x:v>
      </x:c>
      <x:c r="C26" s="46"/>
      <x:c r="D26" s="46"/>
      <x:c r="E26" s="46"/>
      <x:c r="F26" s="57"/>
    </x:row>
    <x:row r="27">
      <x:c r="A27" s="72" t="str">
        <x:v>04</x:v>
      </x:c>
      <x:c r="B27" s="46" t="str">
        <x:v>KBUrl skal pege på den originale XHTML-side hos Det Kgl. Bibliotek.</x:v>
      </x:c>
      <x:c r="C27" s="46"/>
      <x:c r="D27" s="46"/>
      <x:c r="E27" s="46"/>
      <x:c r="F27" s="57"/>
    </x:row>
    <x:row r="28">
      <x:c r="A28" s="73" t="str">
        <x:v>05</x:v>
      </x:c>
      <x:c r="B28" s="59" t="str">
        <x:v>Eksempelrækker skal fjernes eller erstattes før produktionsindlæsning.</x:v>
      </x:c>
      <x:c r="C28" s="59"/>
      <x:c r="D28" s="59"/>
      <x:c r="E28" s="59"/>
      <x:c r="F28" s="60"/>
    </x:row>
  </x:sheetData>
  <x:mergeCells>
    <x:mergeCell ref="A1:F1"/>
    <x:mergeCell ref="A2:F2"/>
    <x:mergeCell ref="A10:F10"/>
    <x:mergeCell ref="A23:F23"/>
    <x:mergeCell ref="B24:F24"/>
    <x:mergeCell ref="B25:F25"/>
    <x:mergeCell ref="B26:F26"/>
    <x:mergeCell ref="B27:F27"/>
    <x:mergeCell ref="B28:F28"/>
  </x:mergeCells>
  <x:pageMargins left="0.7" right="0.7" top="0.75" bottom="0.75" header="0.3" footer="0.3"/>
  <x:tableParts count="1">
    <x:tablePart xmlns:r="http://schemas.openxmlformats.org/officeDocument/2006/relationships" r:id="R4cb9e0968e734f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8.329999923706055" hidden="0" customWidth="1"/>
    <x:col min="3" max="3" width="8.890000343322754" hidden="0" customWidth="1"/>
    <x:col min="4" max="4" width="13.890000343322754" hidden="0" customWidth="1"/>
    <x:col min="5" max="5" width="43.33000183105469" hidden="0" customWidth="1"/>
    <x:col min="6" max="6" width="32.220001220703125" hidden="0" customWidth="1"/>
    <x:col min="7" max="7" width="32.220001220703125" hidden="0" customWidth="1"/>
    <x:col min="8" max="8" width="12.220000267028809" hidden="0" customWidth="1"/>
  </x:cols>
  <x:sheetData>
    <x:row r="1" ht="31" customHeight="1">
      <x:c r="A1" s="3" t="str">
        <x:v>Dagbogssider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Modellens korn: én række pr. kombination af bind og trykt side. PageKey beregnes automatisk.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76" t="str">
        <x:v>PageKey*</x:v>
      </x:c>
      <x:c r="B4" s="76" t="str">
        <x:v>VolRef*</x:v>
      </x:c>
      <x:c r="C4" s="76" t="str">
        <x:v>PageRef*</x:v>
      </x:c>
      <x:c r="D4" s="76" t="str">
        <x:v>DiaryYearLabel</x:v>
      </x:c>
      <x:c r="E4" s="76" t="str">
        <x:v>KBUrl*</x:v>
      </x:c>
      <x:c r="F4" s="76" t="str">
        <x:v>RegisterSummary</x:v>
      </x:c>
      <x:c r="G4" s="76" t="str">
        <x:v>ContentSummary</x:v>
      </x:c>
      <x:c r="H4" s="76" t="str">
        <x:v>SourceStatus*</x:v>
      </x:c>
    </x:row>
    <x:row r="5" ht="21" customHeight="1">
      <x:c r="A5" s="84" t="str">
        <x:f>IF(OR(B5="",C5=""),"",B5&amp;"-"&amp;TEXT(C5,"0"))</x:f>
        <x:v>V-261</x:v>
      </x:c>
      <x:c r="B5" s="85" t="str">
        <x:v>V</x:v>
      </x:c>
      <x:c r="C5" s="86" t="n">
        <x:v>261</x:v>
      </x:c>
      <x:c r="D5" s="85" t="str">
        <x:v>1862-XX</x:v>
      </x:c>
      <x:c r="E5" s="85" t="str">
        <x:v>https://epub3.kb.dk/hcadag/epub3/EPUB/hcadag05_281_261.xhtml</x:v>
      </x:c>
      <x:c r="F5" s="85" t="str">
        <x:v>Eksempel: registerresumé for side V-261.</x:v>
      </x:c>
      <x:c r="G5" s="85" t="str">
        <x:v>Eksempel: kort indholdsresumé for side V-261.</x:v>
      </x:c>
      <x:c r="H5" s="85" t="str">
        <x:v>Ready</x:v>
      </x:c>
    </x:row>
    <x:row r="6" ht="21" customHeight="1">
      <x:c r="A6" s="84" t="str">
        <x:f>IF(OR(B6="",C6=""),"",B6&amp;"-"&amp;TEXT(C6,"0"))</x:f>
      </x:c>
      <x:c r="B6" s="87"/>
      <x:c r="C6" s="88"/>
      <x:c r="D6" s="87"/>
      <x:c r="E6" s="87"/>
      <x:c r="F6" s="87"/>
      <x:c r="G6" s="87"/>
      <x:c r="H6" s="87"/>
    </x:row>
    <x:row r="7" ht="21" customHeight="1">
      <x:c r="A7" s="84" t="str">
        <x:f>IF(OR(B7="",C7=""),"",B7&amp;"-"&amp;TEXT(C7,"0"))</x:f>
      </x:c>
      <x:c r="B7" s="87"/>
      <x:c r="C7" s="88"/>
      <x:c r="D7" s="87"/>
      <x:c r="E7" s="87"/>
      <x:c r="F7" s="87"/>
      <x:c r="G7" s="87"/>
      <x:c r="H7" s="87"/>
    </x:row>
    <x:row r="8" ht="21" customHeight="1">
      <x:c r="A8" s="84" t="str">
        <x:f>IF(OR(B8="",C8=""),"",B8&amp;"-"&amp;TEXT(C8,"0"))</x:f>
      </x:c>
      <x:c r="B8" s="87"/>
      <x:c r="C8" s="88"/>
      <x:c r="D8" s="87"/>
      <x:c r="E8" s="87"/>
      <x:c r="F8" s="87"/>
      <x:c r="G8" s="87"/>
      <x:c r="H8" s="87"/>
    </x:row>
    <x:row r="9" ht="21" customHeight="1">
      <x:c r="A9" s="84" t="str">
        <x:f>IF(OR(B9="",C9=""),"",B9&amp;"-"&amp;TEXT(C9,"0"))</x:f>
      </x:c>
      <x:c r="B9" s="87"/>
      <x:c r="C9" s="88"/>
      <x:c r="D9" s="87"/>
      <x:c r="E9" s="87"/>
      <x:c r="F9" s="87"/>
      <x:c r="G9" s="87"/>
      <x:c r="H9" s="87"/>
    </x:row>
    <x:row r="10" ht="21" customHeight="1">
      <x:c r="A10" s="84" t="str">
        <x:f>IF(OR(B10="",C10=""),"",B10&amp;"-"&amp;TEXT(C10,"0"))</x:f>
      </x:c>
      <x:c r="B10" s="87"/>
      <x:c r="C10" s="88"/>
      <x:c r="D10" s="87"/>
      <x:c r="E10" s="87"/>
      <x:c r="F10" s="87"/>
      <x:c r="G10" s="87"/>
      <x:c r="H10" s="87"/>
    </x:row>
    <x:row r="11" ht="21" customHeight="1">
      <x:c r="A11" s="84" t="str">
        <x:f>IF(OR(B11="",C11=""),"",B11&amp;"-"&amp;TEXT(C11,"0"))</x:f>
      </x:c>
      <x:c r="B11" s="87"/>
      <x:c r="C11" s="88"/>
      <x:c r="D11" s="87"/>
      <x:c r="E11" s="87"/>
      <x:c r="F11" s="87"/>
      <x:c r="G11" s="87"/>
      <x:c r="H11" s="87"/>
    </x:row>
    <x:row r="12" ht="21" customHeight="1">
      <x:c r="A12" s="84" t="str">
        <x:f>IF(OR(B12="",C12=""),"",B12&amp;"-"&amp;TEXT(C12,"0"))</x:f>
      </x:c>
      <x:c r="B12" s="87"/>
      <x:c r="C12" s="88"/>
      <x:c r="D12" s="87"/>
      <x:c r="E12" s="87"/>
      <x:c r="F12" s="87"/>
      <x:c r="G12" s="87"/>
      <x:c r="H12" s="87"/>
    </x:row>
    <x:row r="13" ht="21" customHeight="1">
      <x:c r="A13" s="84" t="str">
        <x:f>IF(OR(B13="",C13=""),"",B13&amp;"-"&amp;TEXT(C13,"0"))</x:f>
      </x:c>
      <x:c r="B13" s="87"/>
      <x:c r="C13" s="88"/>
      <x:c r="D13" s="87"/>
      <x:c r="E13" s="87"/>
      <x:c r="F13" s="87"/>
      <x:c r="G13" s="87"/>
      <x:c r="H13" s="87"/>
    </x:row>
    <x:row r="14" ht="21" customHeight="1">
      <x:c r="A14" s="84" t="str">
        <x:f>IF(OR(B14="",C14=""),"",B14&amp;"-"&amp;TEXT(C14,"0"))</x:f>
      </x:c>
      <x:c r="B14" s="87"/>
      <x:c r="C14" s="88"/>
      <x:c r="D14" s="87"/>
      <x:c r="E14" s="87"/>
      <x:c r="F14" s="87"/>
      <x:c r="G14" s="87"/>
      <x:c r="H14" s="87"/>
    </x:row>
    <x:row r="15" ht="21" customHeight="1">
      <x:c r="A15" s="84" t="str">
        <x:f>IF(OR(B15="",C15=""),"",B15&amp;"-"&amp;TEXT(C15,"0"))</x:f>
      </x:c>
      <x:c r="B15" s="87"/>
      <x:c r="C15" s="88"/>
      <x:c r="D15" s="87"/>
      <x:c r="E15" s="87"/>
      <x:c r="F15" s="87"/>
      <x:c r="G15" s="87"/>
      <x:c r="H15" s="87"/>
    </x:row>
    <x:row r="16" ht="21" customHeight="1">
      <x:c r="A16" s="84" t="str">
        <x:f>IF(OR(B16="",C16=""),"",B16&amp;"-"&amp;TEXT(C16,"0"))</x:f>
      </x:c>
      <x:c r="B16" s="87"/>
      <x:c r="C16" s="88"/>
      <x:c r="D16" s="87"/>
      <x:c r="E16" s="87"/>
      <x:c r="F16" s="87"/>
      <x:c r="G16" s="87"/>
      <x:c r="H16" s="87"/>
    </x:row>
    <x:row r="17" ht="21" customHeight="1">
      <x:c r="A17" s="84" t="str">
        <x:f>IF(OR(B17="",C17=""),"",B17&amp;"-"&amp;TEXT(C17,"0"))</x:f>
      </x:c>
      <x:c r="B17" s="87"/>
      <x:c r="C17" s="88"/>
      <x:c r="D17" s="87"/>
      <x:c r="E17" s="87"/>
      <x:c r="F17" s="87"/>
      <x:c r="G17" s="87"/>
      <x:c r="H17" s="87"/>
    </x:row>
    <x:row r="18" ht="21" customHeight="1">
      <x:c r="A18" s="84" t="str">
        <x:f>IF(OR(B18="",C18=""),"",B18&amp;"-"&amp;TEXT(C18,"0"))</x:f>
      </x:c>
      <x:c r="B18" s="87"/>
      <x:c r="C18" s="88"/>
      <x:c r="D18" s="87"/>
      <x:c r="E18" s="87"/>
      <x:c r="F18" s="87"/>
      <x:c r="G18" s="87"/>
      <x:c r="H18" s="87"/>
    </x:row>
    <x:row r="19" ht="21" customHeight="1">
      <x:c r="A19" s="84" t="str">
        <x:f>IF(OR(B19="",C19=""),"",B19&amp;"-"&amp;TEXT(C19,"0"))</x:f>
      </x:c>
      <x:c r="B19" s="87"/>
      <x:c r="C19" s="88"/>
      <x:c r="D19" s="87"/>
      <x:c r="E19" s="87"/>
      <x:c r="F19" s="87"/>
      <x:c r="G19" s="87"/>
      <x:c r="H19" s="87"/>
    </x:row>
    <x:row r="20" ht="21" customHeight="1">
      <x:c r="A20" s="84" t="str">
        <x:f>IF(OR(B20="",C20=""),"",B20&amp;"-"&amp;TEXT(C20,"0"))</x:f>
      </x:c>
      <x:c r="B20" s="87"/>
      <x:c r="C20" s="88"/>
      <x:c r="D20" s="87"/>
      <x:c r="E20" s="87"/>
      <x:c r="F20" s="87"/>
      <x:c r="G20" s="87"/>
      <x:c r="H20" s="87"/>
    </x:row>
    <x:row r="21" ht="21" customHeight="1">
      <x:c r="A21" s="84" t="str">
        <x:f>IF(OR(B21="",C21=""),"",B21&amp;"-"&amp;TEXT(C21,"0"))</x:f>
      </x:c>
      <x:c r="B21" s="87"/>
      <x:c r="C21" s="88"/>
      <x:c r="D21" s="87"/>
      <x:c r="E21" s="87"/>
      <x:c r="F21" s="87"/>
      <x:c r="G21" s="87"/>
      <x:c r="H21" s="87"/>
    </x:row>
    <x:row r="22" ht="21" customHeight="1">
      <x:c r="A22" s="84" t="str">
        <x:f>IF(OR(B22="",C22=""),"",B22&amp;"-"&amp;TEXT(C22,"0"))</x:f>
      </x:c>
      <x:c r="B22" s="87"/>
      <x:c r="C22" s="88"/>
      <x:c r="D22" s="87"/>
      <x:c r="E22" s="87"/>
      <x:c r="F22" s="87"/>
      <x:c r="G22" s="87"/>
      <x:c r="H22" s="87"/>
    </x:row>
    <x:row r="23" ht="21" customHeight="1">
      <x:c r="A23" s="84" t="str">
        <x:f>IF(OR(B23="",C23=""),"",B23&amp;"-"&amp;TEXT(C23,"0"))</x:f>
      </x:c>
      <x:c r="B23" s="87"/>
      <x:c r="C23" s="88"/>
      <x:c r="D23" s="87"/>
      <x:c r="E23" s="87"/>
      <x:c r="F23" s="87"/>
      <x:c r="G23" s="87"/>
      <x:c r="H23" s="87"/>
    </x:row>
    <x:row r="24" ht="21" customHeight="1">
      <x:c r="A24" s="84" t="str">
        <x:f>IF(OR(B24="",C24=""),"",B24&amp;"-"&amp;TEXT(C24,"0"))</x:f>
      </x:c>
      <x:c r="B24" s="87"/>
      <x:c r="C24" s="88"/>
      <x:c r="D24" s="87"/>
      <x:c r="E24" s="87"/>
      <x:c r="F24" s="87"/>
      <x:c r="G24" s="87"/>
      <x:c r="H24" s="87"/>
    </x:row>
    <x:row r="25" ht="21" customHeight="1">
      <x:c r="A25" s="84" t="str">
        <x:f>IF(OR(B25="",C25=""),"",B25&amp;"-"&amp;TEXT(C25,"0"))</x:f>
      </x:c>
      <x:c r="B25" s="87"/>
      <x:c r="C25" s="88"/>
      <x:c r="D25" s="87"/>
      <x:c r="E25" s="87"/>
      <x:c r="F25" s="87"/>
      <x:c r="G25" s="87"/>
      <x:c r="H25" s="87"/>
    </x:row>
    <x:row r="26" ht="21" customHeight="1">
      <x:c r="A26" s="84" t="str">
        <x:f>IF(OR(B26="",C26=""),"",B26&amp;"-"&amp;TEXT(C26,"0"))</x:f>
      </x:c>
      <x:c r="B26" s="87"/>
      <x:c r="C26" s="88"/>
      <x:c r="D26" s="87"/>
      <x:c r="E26" s="87"/>
      <x:c r="F26" s="87"/>
      <x:c r="G26" s="87"/>
      <x:c r="H26" s="87"/>
    </x:row>
    <x:row r="27" ht="21" customHeight="1">
      <x:c r="A27" s="84" t="str">
        <x:f>IF(OR(B27="",C27=""),"",B27&amp;"-"&amp;TEXT(C27,"0"))</x:f>
      </x:c>
      <x:c r="B27" s="87"/>
      <x:c r="C27" s="88"/>
      <x:c r="D27" s="87"/>
      <x:c r="E27" s="87"/>
      <x:c r="F27" s="87"/>
      <x:c r="G27" s="87"/>
      <x:c r="H27" s="87"/>
    </x:row>
    <x:row r="28" ht="21" customHeight="1">
      <x:c r="A28" s="84" t="str">
        <x:f>IF(OR(B28="",C28=""),"",B28&amp;"-"&amp;TEXT(C28,"0"))</x:f>
      </x:c>
      <x:c r="B28" s="87"/>
      <x:c r="C28" s="88"/>
      <x:c r="D28" s="87"/>
      <x:c r="E28" s="87"/>
      <x:c r="F28" s="87"/>
      <x:c r="G28" s="87"/>
      <x:c r="H28" s="87"/>
    </x:row>
    <x:row r="29" ht="21" customHeight="1">
      <x:c r="A29" s="84" t="str">
        <x:f>IF(OR(B29="",C29=""),"",B29&amp;"-"&amp;TEXT(C29,"0"))</x:f>
      </x:c>
      <x:c r="B29" s="87"/>
      <x:c r="C29" s="88"/>
      <x:c r="D29" s="87"/>
      <x:c r="E29" s="87"/>
      <x:c r="F29" s="87"/>
      <x:c r="G29" s="87"/>
      <x:c r="H29" s="87"/>
    </x:row>
  </x:sheetData>
  <x:mergeCells>
    <x:mergeCell ref="A1:H1"/>
    <x:mergeCell ref="A2:H2"/>
  </x:mergeCells>
  <x:dataValidations count="3">
    <x:dataValidation type="list" sqref="B5:B29">
      <x:formula1>"I,II,III,IV,V,VI,VII,VIII,IX,X"</x:formula1>
    </x:dataValidation>
    <x:dataValidation type="whole" operator="between" sqref="C5:C29">
      <x:formula1>1</x:formula1>
      <x:formula2>999</x:formula2>
    </x:dataValidation>
    <x:dataValidation type="list" sqref="H5:H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a9e425651a47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2.220000267028809" hidden="0" customWidth="1"/>
  </x:cols>
  <x:sheetData>
    <x:row r="1" ht="44" customHeight="1">
      <x:c r="A1" s="111" t="str">
        <x:v>Kalenderdatoer</x:v>
      </x:c>
      <x:c r="B1" s="111" t="str">
        <x:v>Kalenderdatoer</x:v>
      </x:c>
      <x:c r="C1" s="111" t="str">
        <x:v>Kalenderdatoer</x:v>
      </x:c>
      <x:c r="D1" s="111" t="str">
        <x:v>Kalenderdatoer</x:v>
      </x:c>
      <x:c r="E1" s="111" t="str">
        <x:v>Kalenderdatoer</x:v>
      </x:c>
      <x:c r="F1" s="111" t="str">
        <x:v>Kalenderdatoer</x:v>
      </x:c>
      <x:c r="G1" s="111" t="str">
        <x:v>Kalenderdatoer</x:v>
      </x:c>
      <x:c r="H1" s="3"/>
    </x:row>
    <x:row r="2" ht="38" customHeight="1">
      <x:c r="A2" s="112" t="str">
        <x:v>Én række pr. unik kalenderdato. Koblingen til dagbogssider ligger i fanen KalenderSide, så samme dato kan genbruges på flere sider.</x:v>
      </x:c>
      <x:c r="B2" s="112" t="str">
        <x:v>Én række pr. unik kalenderdato. Koblingen til dagbogssider ligger i fanen KalenderSide, så samme dato kan genbruges på flere sider.</x:v>
      </x:c>
      <x:c r="C2" s="112" t="str">
        <x:v>Én række pr. unik kalenderdato. Koblingen til dagbogssider ligger i fanen KalenderSide, så samme dato kan genbruges på flere sider.</x:v>
      </x:c>
      <x:c r="D2" s="112" t="str">
        <x:v>Én række pr. unik kalenderdato. Koblingen til dagbogssider ligger i fanen KalenderSide, så samme dato kan genbruges på flere sider.</x:v>
      </x:c>
      <x:c r="E2" s="112" t="str">
        <x:v>Én række pr. unik kalenderdato. Koblingen til dagbogssider ligger i fanen KalenderSide, så samme dato kan genbruges på flere sider.</x:v>
      </x:c>
      <x:c r="F2" s="112" t="str">
        <x:v>Én række pr. unik kalenderdato. Koblingen til dagbogssider ligger i fanen KalenderSide, så samme dato kan genbruges på flere sider.</x:v>
      </x:c>
      <x:c r="G2" s="112" t="str">
        <x:v>Én række pr. unik kalenderdato. Koblingen til dagbogssider ligger i fanen KalenderSide, så samme dato kan genbruges på flere sider.</x:v>
      </x:c>
      <x:c r="H2" s="7"/>
    </x:row>
    <x:row r="4" ht="34" customHeight="1">
      <x:c r="A4" s="114" t="str">
        <x:v>CalendarKey*</x:v>
      </x:c>
      <x:c r="B4" s="115" t="str">
        <x:v>DiaryDateISO*</x:v>
      </x:c>
      <x:c r="C4" s="115" t="str">
        <x:v>DiaryYear*</x:v>
      </x:c>
      <x:c r="D4" s="115" t="str">
        <x:v>DiaryMonth*</x:v>
      </x:c>
      <x:c r="E4" s="115" t="str">
        <x:v>DiaryDay*</x:v>
      </x:c>
      <x:c r="F4" s="115" t="str">
        <x:v>Weekday*</x:v>
      </x:c>
      <x:c r="G4" s="116" t="str">
        <x:v>DateStatus*</x:v>
      </x:c>
      <x:c r="H4" s="76"/>
    </x:row>
    <x:row r="5" ht="21" customHeight="1">
      <x:c r="A5" s="84" t="str">
        <x:f>IF(B5="","",LEFT(B5,10))</x:f>
        <x:v>1862-10-15</x:v>
      </x:c>
      <x:c r="B5" s="85" t="str">
        <x:v>1862-10-15</x:v>
      </x:c>
      <x:c r="C5" s="92" t="n">
        <x:f>IF(B5="","",VALUE(LEFT(B5,4)))</x:f>
        <x:v>1862</x:v>
      </x:c>
      <x:c r="D5" s="93" t="str">
        <x:f>IF(B5="","",LEFT(B5,7))</x:f>
        <x:v>1862-10</x:v>
      </x:c>
      <x:c r="E5" s="84" t="str">
        <x:f>IF(B5="","",LEFT(B5,10))</x:f>
        <x:v>1862-10-15</x:v>
      </x:c>
      <x:c r="F5" s="84" t="str">
        <x:v>Onsdag</x:v>
      </x:c>
      <x:c r="G5" s="85" t="str">
        <x:v>Exact</x:v>
      </x:c>
      <x:c r="H5" s="85"/>
    </x:row>
    <x:row r="6" ht="21" customHeight="1">
      <x:c r="A6" s="84" t="str">
        <x:f>IF(B6="","",LEFT(B6,10))</x:f>
      </x:c>
      <x:c r="B6" s="87"/>
      <x:c r="C6" s="94" t="str">
        <x:f>IF(B6="","",VALUE(LEFT(B6,4)))</x:f>
      </x:c>
      <x:c r="D6" s="93" t="str">
        <x:f>IF(B6="","",LEFT(B6,7))</x:f>
      </x:c>
      <x:c r="E6" s="84" t="str">
        <x:f>IF(B6="","",LEFT(B6,10))</x:f>
      </x:c>
      <x:c r="F6" s="84"/>
      <x:c r="G6" s="87"/>
      <x:c r="H6" s="87"/>
    </x:row>
    <x:row r="7" ht="21" customHeight="1">
      <x:c r="A7" s="84" t="str">
        <x:f>IF(B7="","",LEFT(B7,10))</x:f>
      </x:c>
      <x:c r="B7" s="87"/>
      <x:c r="C7" s="94" t="str">
        <x:f>IF(B7="","",VALUE(LEFT(B7,4)))</x:f>
      </x:c>
      <x:c r="D7" s="93" t="str">
        <x:f>IF(B7="","",LEFT(B7,7))</x:f>
      </x:c>
      <x:c r="E7" s="84" t="str">
        <x:f>IF(B7="","",LEFT(B7,10))</x:f>
      </x:c>
      <x:c r="F7" s="84"/>
      <x:c r="G7" s="87"/>
      <x:c r="H7" s="87"/>
    </x:row>
    <x:row r="8" ht="21" customHeight="1">
      <x:c r="A8" s="84" t="str">
        <x:f>IF(B8="","",LEFT(B8,10))</x:f>
      </x:c>
      <x:c r="B8" s="87"/>
      <x:c r="C8" s="94" t="str">
        <x:f>IF(B8="","",VALUE(LEFT(B8,4)))</x:f>
      </x:c>
      <x:c r="D8" s="93" t="str">
        <x:f>IF(B8="","",LEFT(B8,7))</x:f>
      </x:c>
      <x:c r="E8" s="84" t="str">
        <x:f>IF(B8="","",LEFT(B8,10))</x:f>
      </x:c>
      <x:c r="F8" s="84"/>
      <x:c r="G8" s="87"/>
      <x:c r="H8" s="87"/>
    </x:row>
    <x:row r="9" ht="21" customHeight="1">
      <x:c r="A9" s="84" t="str">
        <x:f>IF(B9="","",LEFT(B9,10))</x:f>
      </x:c>
      <x:c r="B9" s="87"/>
      <x:c r="C9" s="94" t="str">
        <x:f>IF(B9="","",VALUE(LEFT(B9,4)))</x:f>
      </x:c>
      <x:c r="D9" s="93" t="str">
        <x:f>IF(B9="","",LEFT(B9,7))</x:f>
      </x:c>
      <x:c r="E9" s="84" t="str">
        <x:f>IF(B9="","",LEFT(B9,10))</x:f>
      </x:c>
      <x:c r="F9" s="84"/>
      <x:c r="G9" s="87"/>
      <x:c r="H9" s="87"/>
    </x:row>
    <x:row r="10" ht="21" customHeight="1">
      <x:c r="A10" s="84" t="str">
        <x:f>IF(B10="","",LEFT(B10,10))</x:f>
      </x:c>
      <x:c r="B10" s="87"/>
      <x:c r="C10" s="94" t="str">
        <x:f>IF(B10="","",VALUE(LEFT(B10,4)))</x:f>
      </x:c>
      <x:c r="D10" s="93" t="str">
        <x:f>IF(B10="","",LEFT(B10,7))</x:f>
      </x:c>
      <x:c r="E10" s="84" t="str">
        <x:f>IF(B10="","",LEFT(B10,10))</x:f>
      </x:c>
      <x:c r="F10" s="84"/>
      <x:c r="G10" s="87"/>
      <x:c r="H10" s="87"/>
    </x:row>
    <x:row r="11" ht="21" customHeight="1">
      <x:c r="A11" s="84" t="str">
        <x:f>IF(B11="","",LEFT(B11,10))</x:f>
      </x:c>
      <x:c r="B11" s="87"/>
      <x:c r="C11" s="94" t="str">
        <x:f>IF(B11="","",VALUE(LEFT(B11,4)))</x:f>
      </x:c>
      <x:c r="D11" s="93" t="str">
        <x:f>IF(B11="","",LEFT(B11,7))</x:f>
      </x:c>
      <x:c r="E11" s="84" t="str">
        <x:f>IF(B11="","",LEFT(B11,10))</x:f>
      </x:c>
      <x:c r="F11" s="84"/>
      <x:c r="G11" s="87"/>
      <x:c r="H11" s="87"/>
    </x:row>
    <x:row r="12" ht="21" customHeight="1">
      <x:c r="A12" s="84" t="str">
        <x:f>IF(B12="","",LEFT(B12,10))</x:f>
      </x:c>
      <x:c r="B12" s="87"/>
      <x:c r="C12" s="94" t="str">
        <x:f>IF(B12="","",VALUE(LEFT(B12,4)))</x:f>
      </x:c>
      <x:c r="D12" s="93" t="str">
        <x:f>IF(B12="","",LEFT(B12,7))</x:f>
      </x:c>
      <x:c r="E12" s="84" t="str">
        <x:f>IF(B12="","",LEFT(B12,10))</x:f>
      </x:c>
      <x:c r="F12" s="84"/>
      <x:c r="G12" s="87"/>
      <x:c r="H12" s="87"/>
    </x:row>
    <x:row r="13" ht="21" customHeight="1">
      <x:c r="A13" s="84" t="str">
        <x:f>IF(B13="","",LEFT(B13,10))</x:f>
      </x:c>
      <x:c r="B13" s="87"/>
      <x:c r="C13" s="94" t="str">
        <x:f>IF(B13="","",VALUE(LEFT(B13,4)))</x:f>
      </x:c>
      <x:c r="D13" s="93" t="str">
        <x:f>IF(B13="","",LEFT(B13,7))</x:f>
      </x:c>
      <x:c r="E13" s="84" t="str">
        <x:f>IF(B13="","",LEFT(B13,10))</x:f>
      </x:c>
      <x:c r="F13" s="84"/>
      <x:c r="G13" s="87"/>
      <x:c r="H13" s="87"/>
    </x:row>
    <x:row r="14" ht="21" customHeight="1">
      <x:c r="A14" s="84" t="str">
        <x:f>IF(B14="","",LEFT(B14,10))</x:f>
      </x:c>
      <x:c r="B14" s="87"/>
      <x:c r="C14" s="94" t="str">
        <x:f>IF(B14="","",VALUE(LEFT(B14,4)))</x:f>
      </x:c>
      <x:c r="D14" s="93" t="str">
        <x:f>IF(B14="","",LEFT(B14,7))</x:f>
      </x:c>
      <x:c r="E14" s="84" t="str">
        <x:f>IF(B14="","",LEFT(B14,10))</x:f>
      </x:c>
      <x:c r="F14" s="84"/>
      <x:c r="G14" s="87"/>
      <x:c r="H14" s="87"/>
    </x:row>
    <x:row r="15" ht="21" customHeight="1">
      <x:c r="A15" s="84" t="str">
        <x:f>IF(B15="","",LEFT(B15,10))</x:f>
      </x:c>
      <x:c r="B15" s="87"/>
      <x:c r="C15" s="94" t="str">
        <x:f>IF(B15="","",VALUE(LEFT(B15,4)))</x:f>
      </x:c>
      <x:c r="D15" s="93" t="str">
        <x:f>IF(B15="","",LEFT(B15,7))</x:f>
      </x:c>
      <x:c r="E15" s="84" t="str">
        <x:f>IF(B15="","",LEFT(B15,10))</x:f>
      </x:c>
      <x:c r="F15" s="84"/>
      <x:c r="G15" s="87"/>
      <x:c r="H15" s="87"/>
    </x:row>
    <x:row r="16" ht="21" customHeight="1">
      <x:c r="A16" s="84" t="str">
        <x:f>IF(B16="","",LEFT(B16,10))</x:f>
      </x:c>
      <x:c r="B16" s="87"/>
      <x:c r="C16" s="94" t="str">
        <x:f>IF(B16="","",VALUE(LEFT(B16,4)))</x:f>
      </x:c>
      <x:c r="D16" s="93" t="str">
        <x:f>IF(B16="","",LEFT(B16,7))</x:f>
      </x:c>
      <x:c r="E16" s="84" t="str">
        <x:f>IF(B16="","",LEFT(B16,10))</x:f>
      </x:c>
      <x:c r="F16" s="84"/>
      <x:c r="G16" s="87"/>
      <x:c r="H16" s="87"/>
    </x:row>
    <x:row r="17" ht="21" customHeight="1">
      <x:c r="A17" s="84" t="str">
        <x:f>IF(B17="","",LEFT(B17,10))</x:f>
      </x:c>
      <x:c r="B17" s="87"/>
      <x:c r="C17" s="94" t="str">
        <x:f>IF(B17="","",VALUE(LEFT(B17,4)))</x:f>
      </x:c>
      <x:c r="D17" s="93" t="str">
        <x:f>IF(B17="","",LEFT(B17,7))</x:f>
      </x:c>
      <x:c r="E17" s="84" t="str">
        <x:f>IF(B17="","",LEFT(B17,10))</x:f>
      </x:c>
      <x:c r="F17" s="84"/>
      <x:c r="G17" s="87"/>
      <x:c r="H17" s="87"/>
    </x:row>
    <x:row r="18" ht="21" customHeight="1">
      <x:c r="A18" s="84" t="str">
        <x:f>IF(B18="","",LEFT(B18,10))</x:f>
      </x:c>
      <x:c r="B18" s="87"/>
      <x:c r="C18" s="94" t="str">
        <x:f>IF(B18="","",VALUE(LEFT(B18,4)))</x:f>
      </x:c>
      <x:c r="D18" s="93" t="str">
        <x:f>IF(B18="","",LEFT(B18,7))</x:f>
      </x:c>
      <x:c r="E18" s="84" t="str">
        <x:f>IF(B18="","",LEFT(B18,10))</x:f>
      </x:c>
      <x:c r="F18" s="84"/>
      <x:c r="G18" s="87"/>
      <x:c r="H18" s="87"/>
    </x:row>
    <x:row r="19" ht="21" customHeight="1">
      <x:c r="A19" s="84" t="str">
        <x:f>IF(B19="","",LEFT(B19,10))</x:f>
      </x:c>
      <x:c r="B19" s="87"/>
      <x:c r="C19" s="94" t="str">
        <x:f>IF(B19="","",VALUE(LEFT(B19,4)))</x:f>
      </x:c>
      <x:c r="D19" s="93" t="str">
        <x:f>IF(B19="","",LEFT(B19,7))</x:f>
      </x:c>
      <x:c r="E19" s="84" t="str">
        <x:f>IF(B19="","",LEFT(B19,10))</x:f>
      </x:c>
      <x:c r="F19" s="84"/>
      <x:c r="G19" s="87"/>
      <x:c r="H19" s="87"/>
    </x:row>
    <x:row r="20" ht="21" customHeight="1">
      <x:c r="A20" s="84" t="str">
        <x:f>IF(B20="","",LEFT(B20,10))</x:f>
      </x:c>
      <x:c r="B20" s="87"/>
      <x:c r="C20" s="94" t="str">
        <x:f>IF(B20="","",VALUE(LEFT(B20,4)))</x:f>
      </x:c>
      <x:c r="D20" s="93" t="str">
        <x:f>IF(B20="","",LEFT(B20,7))</x:f>
      </x:c>
      <x:c r="E20" s="84" t="str">
        <x:f>IF(B20="","",LEFT(B20,10))</x:f>
      </x:c>
      <x:c r="F20" s="84"/>
      <x:c r="G20" s="87"/>
      <x:c r="H20" s="87"/>
    </x:row>
    <x:row r="21" ht="21" customHeight="1">
      <x:c r="A21" s="84" t="str">
        <x:f>IF(B21="","",LEFT(B21,10))</x:f>
      </x:c>
      <x:c r="B21" s="87"/>
      <x:c r="C21" s="94" t="str">
        <x:f>IF(B21="","",VALUE(LEFT(B21,4)))</x:f>
      </x:c>
      <x:c r="D21" s="93" t="str">
        <x:f>IF(B21="","",LEFT(B21,7))</x:f>
      </x:c>
      <x:c r="E21" s="84" t="str">
        <x:f>IF(B21="","",LEFT(B21,10))</x:f>
      </x:c>
      <x:c r="F21" s="84"/>
      <x:c r="G21" s="87"/>
      <x:c r="H21" s="87"/>
    </x:row>
    <x:row r="22" ht="21" customHeight="1">
      <x:c r="A22" s="84" t="str">
        <x:f>IF(B22="","",LEFT(B22,10))</x:f>
      </x:c>
      <x:c r="B22" s="87"/>
      <x:c r="C22" s="94" t="str">
        <x:f>IF(B22="","",VALUE(LEFT(B22,4)))</x:f>
      </x:c>
      <x:c r="D22" s="93" t="str">
        <x:f>IF(B22="","",LEFT(B22,7))</x:f>
      </x:c>
      <x:c r="E22" s="84" t="str">
        <x:f>IF(B22="","",LEFT(B22,10))</x:f>
      </x:c>
      <x:c r="F22" s="84"/>
      <x:c r="G22" s="87"/>
      <x:c r="H22" s="87"/>
    </x:row>
    <x:row r="23" ht="21" customHeight="1">
      <x:c r="A23" s="84" t="str">
        <x:f>IF(B23="","",LEFT(B23,10))</x:f>
      </x:c>
      <x:c r="B23" s="87"/>
      <x:c r="C23" s="94" t="str">
        <x:f>IF(B23="","",VALUE(LEFT(B23,4)))</x:f>
      </x:c>
      <x:c r="D23" s="93" t="str">
        <x:f>IF(B23="","",LEFT(B23,7))</x:f>
      </x:c>
      <x:c r="E23" s="84" t="str">
        <x:f>IF(B23="","",LEFT(B23,10))</x:f>
      </x:c>
      <x:c r="F23" s="84"/>
      <x:c r="G23" s="87"/>
      <x:c r="H23" s="87"/>
    </x:row>
    <x:row r="24" ht="21" customHeight="1">
      <x:c r="A24" s="84" t="str">
        <x:f>IF(B24="","",LEFT(B24,10))</x:f>
      </x:c>
      <x:c r="B24" s="87"/>
      <x:c r="C24" s="94" t="str">
        <x:f>IF(B24="","",VALUE(LEFT(B24,4)))</x:f>
      </x:c>
      <x:c r="D24" s="93" t="str">
        <x:f>IF(B24="","",LEFT(B24,7))</x:f>
      </x:c>
      <x:c r="E24" s="84" t="str">
        <x:f>IF(B24="","",LEFT(B24,10))</x:f>
      </x:c>
      <x:c r="F24" s="84"/>
      <x:c r="G24" s="87"/>
      <x:c r="H24" s="87"/>
    </x:row>
    <x:row r="25" ht="21" customHeight="1">
      <x:c r="A25" s="84" t="str">
        <x:f>IF(B25="","",LEFT(B25,10))</x:f>
      </x:c>
      <x:c r="B25" s="87"/>
      <x:c r="C25" s="94" t="str">
        <x:f>IF(B25="","",VALUE(LEFT(B25,4)))</x:f>
      </x:c>
      <x:c r="D25" s="93" t="str">
        <x:f>IF(B25="","",LEFT(B25,7))</x:f>
      </x:c>
      <x:c r="E25" s="84" t="str">
        <x:f>IF(B25="","",LEFT(B25,10))</x:f>
      </x:c>
      <x:c r="F25" s="84"/>
      <x:c r="G25" s="87"/>
      <x:c r="H25" s="87"/>
    </x:row>
    <x:row r="26" ht="21" customHeight="1">
      <x:c r="A26" s="84" t="str">
        <x:f>IF(B26="","",LEFT(B26,10))</x:f>
      </x:c>
      <x:c r="B26" s="87"/>
      <x:c r="C26" s="94" t="str">
        <x:f>IF(B26="","",VALUE(LEFT(B26,4)))</x:f>
      </x:c>
      <x:c r="D26" s="93" t="str">
        <x:f>IF(B26="","",LEFT(B26,7))</x:f>
      </x:c>
      <x:c r="E26" s="84" t="str">
        <x:f>IF(B26="","",LEFT(B26,10))</x:f>
      </x:c>
      <x:c r="F26" s="84"/>
      <x:c r="G26" s="87"/>
      <x:c r="H26" s="87"/>
    </x:row>
    <x:row r="27" ht="21" customHeight="1">
      <x:c r="A27" s="84" t="str">
        <x:f>IF(B27="","",LEFT(B27,10))</x:f>
      </x:c>
      <x:c r="B27" s="87"/>
      <x:c r="C27" s="94" t="str">
        <x:f>IF(B27="","",VALUE(LEFT(B27,4)))</x:f>
      </x:c>
      <x:c r="D27" s="93" t="str">
        <x:f>IF(B27="","",LEFT(B27,7))</x:f>
      </x:c>
      <x:c r="E27" s="84" t="str">
        <x:f>IF(B27="","",LEFT(B27,10))</x:f>
      </x:c>
      <x:c r="F27" s="84"/>
      <x:c r="G27" s="87"/>
      <x:c r="H27" s="87"/>
    </x:row>
    <x:row r="28" ht="21" customHeight="1">
      <x:c r="A28" s="84" t="str">
        <x:f>IF(B28="","",LEFT(B28,10))</x:f>
      </x:c>
      <x:c r="B28" s="87"/>
      <x:c r="C28" s="94" t="str">
        <x:f>IF(B28="","",VALUE(LEFT(B28,4)))</x:f>
      </x:c>
      <x:c r="D28" s="93" t="str">
        <x:f>IF(B28="","",LEFT(B28,7))</x:f>
      </x:c>
      <x:c r="E28" s="84" t="str">
        <x:f>IF(B28="","",LEFT(B28,10))</x:f>
      </x:c>
      <x:c r="F28" s="84"/>
      <x:c r="G28" s="87"/>
      <x:c r="H28" s="87"/>
    </x:row>
    <x:row r="29" ht="21" customHeight="1">
      <x:c r="A29" s="84" t="str">
        <x:f>IF(B29="","",LEFT(B29,10))</x:f>
      </x:c>
      <x:c r="B29" s="87"/>
      <x:c r="C29" s="94" t="str">
        <x:f>IF(B29="","",VALUE(LEFT(B29,4)))</x:f>
      </x:c>
      <x:c r="D29" s="93" t="str">
        <x:f>IF(B29="","",LEFT(B29,7))</x:f>
      </x:c>
      <x:c r="E29" s="84" t="str">
        <x:f>IF(B29="","",LEFT(B29,10))</x:f>
      </x:c>
      <x:c r="F29" s="84"/>
      <x:c r="G29" s="87"/>
      <x:c r="H29" s="87"/>
    </x:row>
  </x:sheetData>
  <x:mergeCells>
    <x:mergeCell ref="A1:H1"/>
    <x:mergeCell ref="A2:H2"/>
    <x:mergeCell ref="A1:G1"/>
    <x:mergeCell ref="A2:G2"/>
  </x:mergeCells>
  <x:dataValidations count="4">
    <x:dataValidation type="list" sqref="B5:B29">
      <x:formula1>'Dagbogssider'!$A$5:$A$29</x:formula1>
    </x:dataValidation>
    <x:dataValidation type="list" sqref="G5:G29">
      <x:formula1>"Exact,Derived,Needs review"</x:formula1>
    </x:dataValidation>
    <x:dataValidation type="list" sqref="H5:H29">
      <x:formula1>"Exact,Approximate,Inferred,Unknown"</x:formula1>
    </x:dataValidation>
    <x:dataValidation type="list" sqref="F5:F29">
      <x:formula1>"Mandag,Tirsdag,Onsdag,Torsdag,Fredag,Lørdag,Søndag"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d2cc65932745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6.670000076293945" hidden="0" customWidth="1"/>
    <x:col min="3" max="3" width="42.220001220703125" hidden="0" customWidth="1"/>
    <x:col min="4" max="4" width="10" hidden="0" customWidth="1"/>
    <x:col min="5" max="5" width="10" hidden="0" customWidth="1"/>
    <x:col min="6" max="6" width="8.329999923706055" hidden="0" customWidth="1"/>
    <x:col min="7" max="7" width="24.440000534057617" hidden="0" customWidth="1"/>
    <x:col min="8" max="8" width="28.889999389648438" hidden="0" customWidth="1"/>
    <x:col min="9" max="9" width="12.220000267028809" hidden="0" customWidth="1"/>
  </x:cols>
  <x:sheetData>
    <x:row r="1" ht="31" customHeight="1">
      <x:c r="A1" s="3" t="str">
        <x:v>Personregister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Én række pr. person eller personlignende registertitel. Age beregnes, når både fødsels- og dødsår findes.</x:v>
      </x:c>
      <x:c r="B2" s="7"/>
      <x:c r="C2" s="7"/>
      <x:c r="D2" s="7"/>
      <x:c r="E2" s="7"/>
      <x:c r="F2" s="7"/>
      <x:c r="G2" s="7"/>
      <x:c r="H2" s="7"/>
      <x:c r="I2" s="7"/>
    </x:row>
    <x:row r="4" ht="31" customHeight="1">
      <x:c r="A4" s="76" t="str">
        <x:v>PersonID*</x:v>
      </x:c>
      <x:c r="B4" s="76" t="str">
        <x:v>PersonTitle*</x:v>
      </x:c>
      <x:c r="C4" s="76" t="str">
        <x:v>PersonDescription</x:v>
      </x:c>
      <x:c r="D4" s="76" t="str">
        <x:v>BirthYear</x:v>
      </x:c>
      <x:c r="E4" s="76" t="str">
        <x:v>DeathYear</x:v>
      </x:c>
      <x:c r="F4" s="76" t="str">
        <x:v>Age</x:v>
      </x:c>
      <x:c r="G4" s="76" t="str">
        <x:v>See</x:v>
      </x:c>
      <x:c r="H4" s="76" t="str">
        <x:v>SeeAlso</x:v>
      </x:c>
      <x:c r="I4" s="76" t="str">
        <x:v>SourceStatus*</x:v>
      </x:c>
    </x:row>
    <x:row r="5" ht="21" customHeight="1">
      <x:c r="A5" s="86" t="n">
        <x:v>1011000</x:v>
      </x:c>
      <x:c r="B5" s="85" t="str">
        <x:v>Abencerragerne</x:v>
      </x:c>
      <x:c r="C5" s="85" t="str">
        <x:v>Fornem maurisk slægt i Granadas sidste tid.</x:v>
      </x:c>
      <x:c r="D5" s="86"/>
      <x:c r="E5" s="86"/>
      <x:c r="F5" s="93" t="str">
        <x:f>IF(OR(D5="",E5=""),"",E5-D5)</x:f>
      </x:c>
      <x:c r="G5" s="85"/>
      <x:c r="H5" s="85"/>
      <x:c r="I5" s="85" t="str">
        <x:v>Ready</x:v>
      </x:c>
    </x:row>
    <x:row r="6" ht="21" customHeight="1">
      <x:c r="A6" s="88"/>
      <x:c r="B6" s="87"/>
      <x:c r="C6" s="87"/>
      <x:c r="D6" s="88"/>
      <x:c r="E6" s="88"/>
      <x:c r="F6" s="93" t="str">
        <x:f>IF(OR(D6="",E6=""),"",E6-D6)</x:f>
      </x:c>
      <x:c r="G6" s="87"/>
      <x:c r="H6" s="87"/>
      <x:c r="I6" s="87"/>
    </x:row>
    <x:row r="7" ht="21" customHeight="1">
      <x:c r="A7" s="88"/>
      <x:c r="B7" s="87"/>
      <x:c r="C7" s="87"/>
      <x:c r="D7" s="88"/>
      <x:c r="E7" s="88"/>
      <x:c r="F7" s="93" t="str">
        <x:f>IF(OR(D7="",E7=""),"",E7-D7)</x:f>
      </x:c>
      <x:c r="G7" s="87"/>
      <x:c r="H7" s="87"/>
      <x:c r="I7" s="87"/>
    </x:row>
    <x:row r="8" ht="21" customHeight="1">
      <x:c r="A8" s="88"/>
      <x:c r="B8" s="87"/>
      <x:c r="C8" s="87"/>
      <x:c r="D8" s="88"/>
      <x:c r="E8" s="88"/>
      <x:c r="F8" s="93" t="str">
        <x:f>IF(OR(D8="",E8=""),"",E8-D8)</x:f>
      </x:c>
      <x:c r="G8" s="87"/>
      <x:c r="H8" s="87"/>
      <x:c r="I8" s="87"/>
    </x:row>
    <x:row r="9" ht="21" customHeight="1">
      <x:c r="A9" s="88"/>
      <x:c r="B9" s="87"/>
      <x:c r="C9" s="87"/>
      <x:c r="D9" s="88"/>
      <x:c r="E9" s="88"/>
      <x:c r="F9" s="93" t="str">
        <x:f>IF(OR(D9="",E9=""),"",E9-D9)</x:f>
      </x:c>
      <x:c r="G9" s="87"/>
      <x:c r="H9" s="87"/>
      <x:c r="I9" s="87"/>
    </x:row>
    <x:row r="10" ht="21" customHeight="1">
      <x:c r="A10" s="88"/>
      <x:c r="B10" s="87"/>
      <x:c r="C10" s="87"/>
      <x:c r="D10" s="88"/>
      <x:c r="E10" s="88"/>
      <x:c r="F10" s="93" t="str">
        <x:f>IF(OR(D10="",E10=""),"",E10-D10)</x:f>
      </x:c>
      <x:c r="G10" s="87"/>
      <x:c r="H10" s="87"/>
      <x:c r="I10" s="87"/>
    </x:row>
    <x:row r="11" ht="21" customHeight="1">
      <x:c r="A11" s="88"/>
      <x:c r="B11" s="87"/>
      <x:c r="C11" s="87"/>
      <x:c r="D11" s="88"/>
      <x:c r="E11" s="88"/>
      <x:c r="F11" s="93" t="str">
        <x:f>IF(OR(D11="",E11=""),"",E11-D11)</x:f>
      </x:c>
      <x:c r="G11" s="87"/>
      <x:c r="H11" s="87"/>
      <x:c r="I11" s="87"/>
    </x:row>
    <x:row r="12" ht="21" customHeight="1">
      <x:c r="A12" s="88"/>
      <x:c r="B12" s="87"/>
      <x:c r="C12" s="87"/>
      <x:c r="D12" s="88"/>
      <x:c r="E12" s="88"/>
      <x:c r="F12" s="93" t="str">
        <x:f>IF(OR(D12="",E12=""),"",E12-D12)</x:f>
      </x:c>
      <x:c r="G12" s="87"/>
      <x:c r="H12" s="87"/>
      <x:c r="I12" s="87"/>
    </x:row>
    <x:row r="13" ht="21" customHeight="1">
      <x:c r="A13" s="88"/>
      <x:c r="B13" s="87"/>
      <x:c r="C13" s="87"/>
      <x:c r="D13" s="88"/>
      <x:c r="E13" s="88"/>
      <x:c r="F13" s="93" t="str">
        <x:f>IF(OR(D13="",E13=""),"",E13-D13)</x:f>
      </x:c>
      <x:c r="G13" s="87"/>
      <x:c r="H13" s="87"/>
      <x:c r="I13" s="87"/>
    </x:row>
    <x:row r="14" ht="21" customHeight="1">
      <x:c r="A14" s="88"/>
      <x:c r="B14" s="87"/>
      <x:c r="C14" s="87"/>
      <x:c r="D14" s="88"/>
      <x:c r="E14" s="88"/>
      <x:c r="F14" s="93" t="str">
        <x:f>IF(OR(D14="",E14=""),"",E14-D14)</x:f>
      </x:c>
      <x:c r="G14" s="87"/>
      <x:c r="H14" s="87"/>
      <x:c r="I14" s="87"/>
    </x:row>
    <x:row r="15" ht="21" customHeight="1">
      <x:c r="A15" s="88"/>
      <x:c r="B15" s="87"/>
      <x:c r="C15" s="87"/>
      <x:c r="D15" s="88"/>
      <x:c r="E15" s="88"/>
      <x:c r="F15" s="93" t="str">
        <x:f>IF(OR(D15="",E15=""),"",E15-D15)</x:f>
      </x:c>
      <x:c r="G15" s="87"/>
      <x:c r="H15" s="87"/>
      <x:c r="I15" s="87"/>
    </x:row>
    <x:row r="16" ht="21" customHeight="1">
      <x:c r="A16" s="88"/>
      <x:c r="B16" s="87"/>
      <x:c r="C16" s="87"/>
      <x:c r="D16" s="88"/>
      <x:c r="E16" s="88"/>
      <x:c r="F16" s="93" t="str">
        <x:f>IF(OR(D16="",E16=""),"",E16-D16)</x:f>
      </x:c>
      <x:c r="G16" s="87"/>
      <x:c r="H16" s="87"/>
      <x:c r="I16" s="87"/>
    </x:row>
    <x:row r="17" ht="21" customHeight="1">
      <x:c r="A17" s="88"/>
      <x:c r="B17" s="87"/>
      <x:c r="C17" s="87"/>
      <x:c r="D17" s="88"/>
      <x:c r="E17" s="88"/>
      <x:c r="F17" s="93" t="str">
        <x:f>IF(OR(D17="",E17=""),"",E17-D17)</x:f>
      </x:c>
      <x:c r="G17" s="87"/>
      <x:c r="H17" s="87"/>
      <x:c r="I17" s="87"/>
    </x:row>
    <x:row r="18" ht="21" customHeight="1">
      <x:c r="A18" s="88"/>
      <x:c r="B18" s="87"/>
      <x:c r="C18" s="87"/>
      <x:c r="D18" s="88"/>
      <x:c r="E18" s="88"/>
      <x:c r="F18" s="93" t="str">
        <x:f>IF(OR(D18="",E18=""),"",E18-D18)</x:f>
      </x:c>
      <x:c r="G18" s="87"/>
      <x:c r="H18" s="87"/>
      <x:c r="I18" s="87"/>
    </x:row>
    <x:row r="19" ht="21" customHeight="1">
      <x:c r="A19" s="88"/>
      <x:c r="B19" s="87"/>
      <x:c r="C19" s="87"/>
      <x:c r="D19" s="88"/>
      <x:c r="E19" s="88"/>
      <x:c r="F19" s="93" t="str">
        <x:f>IF(OR(D19="",E19=""),"",E19-D19)</x:f>
      </x:c>
      <x:c r="G19" s="87"/>
      <x:c r="H19" s="87"/>
      <x:c r="I19" s="87"/>
    </x:row>
    <x:row r="20" ht="21" customHeight="1">
      <x:c r="A20" s="88"/>
      <x:c r="B20" s="87"/>
      <x:c r="C20" s="87"/>
      <x:c r="D20" s="88"/>
      <x:c r="E20" s="88"/>
      <x:c r="F20" s="93" t="str">
        <x:f>IF(OR(D20="",E20=""),"",E20-D20)</x:f>
      </x:c>
      <x:c r="G20" s="87"/>
      <x:c r="H20" s="87"/>
      <x:c r="I20" s="87"/>
    </x:row>
    <x:row r="21" ht="21" customHeight="1">
      <x:c r="A21" s="88"/>
      <x:c r="B21" s="87"/>
      <x:c r="C21" s="87"/>
      <x:c r="D21" s="88"/>
      <x:c r="E21" s="88"/>
      <x:c r="F21" s="93" t="str">
        <x:f>IF(OR(D21="",E21=""),"",E21-D21)</x:f>
      </x:c>
      <x:c r="G21" s="87"/>
      <x:c r="H21" s="87"/>
      <x:c r="I21" s="87"/>
    </x:row>
    <x:row r="22" ht="21" customHeight="1">
      <x:c r="A22" s="88"/>
      <x:c r="B22" s="87"/>
      <x:c r="C22" s="87"/>
      <x:c r="D22" s="88"/>
      <x:c r="E22" s="88"/>
      <x:c r="F22" s="93" t="str">
        <x:f>IF(OR(D22="",E22=""),"",E22-D22)</x:f>
      </x:c>
      <x:c r="G22" s="87"/>
      <x:c r="H22" s="87"/>
      <x:c r="I22" s="87"/>
    </x:row>
    <x:row r="23" ht="21" customHeight="1">
      <x:c r="A23" s="88"/>
      <x:c r="B23" s="87"/>
      <x:c r="C23" s="87"/>
      <x:c r="D23" s="88"/>
      <x:c r="E23" s="88"/>
      <x:c r="F23" s="93" t="str">
        <x:f>IF(OR(D23="",E23=""),"",E23-D23)</x:f>
      </x:c>
      <x:c r="G23" s="87"/>
      <x:c r="H23" s="87"/>
      <x:c r="I23" s="87"/>
    </x:row>
    <x:row r="24" ht="21" customHeight="1">
      <x:c r="A24" s="88"/>
      <x:c r="B24" s="87"/>
      <x:c r="C24" s="87"/>
      <x:c r="D24" s="88"/>
      <x:c r="E24" s="88"/>
      <x:c r="F24" s="93" t="str">
        <x:f>IF(OR(D24="",E24=""),"",E24-D24)</x:f>
      </x:c>
      <x:c r="G24" s="87"/>
      <x:c r="H24" s="87"/>
      <x:c r="I24" s="87"/>
    </x:row>
    <x:row r="25" ht="21" customHeight="1">
      <x:c r="A25" s="88"/>
      <x:c r="B25" s="87"/>
      <x:c r="C25" s="87"/>
      <x:c r="D25" s="88"/>
      <x:c r="E25" s="88"/>
      <x:c r="F25" s="93" t="str">
        <x:f>IF(OR(D25="",E25=""),"",E25-D25)</x:f>
      </x:c>
      <x:c r="G25" s="87"/>
      <x:c r="H25" s="87"/>
      <x:c r="I25" s="87"/>
    </x:row>
    <x:row r="26" ht="21" customHeight="1">
      <x:c r="A26" s="88"/>
      <x:c r="B26" s="87"/>
      <x:c r="C26" s="87"/>
      <x:c r="D26" s="88"/>
      <x:c r="E26" s="88"/>
      <x:c r="F26" s="93" t="str">
        <x:f>IF(OR(D26="",E26=""),"",E26-D26)</x:f>
      </x:c>
      <x:c r="G26" s="87"/>
      <x:c r="H26" s="87"/>
      <x:c r="I26" s="87"/>
    </x:row>
    <x:row r="27" ht="21" customHeight="1">
      <x:c r="A27" s="88"/>
      <x:c r="B27" s="87"/>
      <x:c r="C27" s="87"/>
      <x:c r="D27" s="88"/>
      <x:c r="E27" s="88"/>
      <x:c r="F27" s="93" t="str">
        <x:f>IF(OR(D27="",E27=""),"",E27-D27)</x:f>
      </x:c>
      <x:c r="G27" s="87"/>
      <x:c r="H27" s="87"/>
      <x:c r="I27" s="87"/>
    </x:row>
    <x:row r="28" ht="21" customHeight="1">
      <x:c r="A28" s="88"/>
      <x:c r="B28" s="87"/>
      <x:c r="C28" s="87"/>
      <x:c r="D28" s="88"/>
      <x:c r="E28" s="88"/>
      <x:c r="F28" s="93" t="str">
        <x:f>IF(OR(D28="",E28=""),"",E28-D28)</x:f>
      </x:c>
      <x:c r="G28" s="87"/>
      <x:c r="H28" s="87"/>
      <x:c r="I28" s="87"/>
    </x:row>
    <x:row r="29" ht="21" customHeight="1">
      <x:c r="A29" s="88"/>
      <x:c r="B29" s="87"/>
      <x:c r="C29" s="87"/>
      <x:c r="D29" s="88"/>
      <x:c r="E29" s="88"/>
      <x:c r="F29" s="93" t="str">
        <x:f>IF(OR(D29="",E29=""),"",E29-D29)</x:f>
      </x:c>
      <x:c r="G29" s="87"/>
      <x:c r="H29" s="87"/>
      <x:c r="I29" s="87"/>
    </x:row>
  </x:sheetData>
  <x:mergeCells>
    <x:mergeCell ref="A1:I1"/>
    <x:mergeCell ref="A2:I2"/>
  </x:mergeCells>
  <x:dataValidations count="1">
    <x:dataValidation type="list" sqref="I5:I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fbfdd46aa744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670000076293945" hidden="0" customWidth="1"/>
    <x:col min="3" max="3" width="11.670000076293945" hidden="0" customWidth="1"/>
    <x:col min="4" max="4" width="8.329999923706055" hidden="0" customWidth="1"/>
    <x:col min="5" max="5" width="8.890000343322754" hidden="0" customWidth="1"/>
    <x:col min="6" max="6" width="33.33000183105469" hidden="0" customWidth="1"/>
    <x:col min="7" max="7" width="12.779999732971191" hidden="0" customWidth="1"/>
  </x:cols>
  <x:sheetData>
    <x:row r="1" ht="31" customHeight="1">
      <x:c r="A1" s="3" t="str">
        <x:v>Bro: person ↔ dagbogsside</x:v>
      </x:c>
      <x:c r="B1" s="3"/>
      <x:c r="C1" s="3"/>
      <x:c r="D1" s="3"/>
      <x:c r="E1" s="3"/>
      <x:c r="F1" s="3"/>
      <x:c r="G1" s="3"/>
    </x:row>
    <x:row r="2" ht="34" customHeight="1">
      <x:c r="A2" s="7" t="str">
        <x:v>Mange-til-mange-relation mellem personregisteret og dagbogssider. Kombinationen PersonID + PageKey skal være entydig.</x:v>
      </x:c>
      <x:c r="B2" s="7"/>
      <x:c r="C2" s="7"/>
      <x:c r="D2" s="7"/>
      <x:c r="E2" s="7"/>
      <x:c r="F2" s="7"/>
      <x:c r="G2" s="7"/>
    </x:row>
    <x:row r="4" ht="31" customHeight="1">
      <x:c r="A4" s="76" t="str">
        <x:v>PersonPageKey*</x:v>
      </x:c>
      <x:c r="B4" s="76" t="str">
        <x:v>PersonID*</x:v>
      </x:c>
      <x:c r="C4" s="76" t="str">
        <x:v>PageKey*</x:v>
      </x:c>
      <x:c r="D4" s="76" t="str">
        <x:v>VolRef</x:v>
      </x:c>
      <x:c r="E4" s="76" t="str">
        <x:v>PageRef</x:v>
      </x:c>
      <x:c r="F4" s="76" t="str">
        <x:v>SourceReference</x:v>
      </x:c>
      <x:c r="G4" s="76" t="str">
        <x:v>RelationStatus*</x:v>
      </x:c>
    </x:row>
    <x:row r="5" ht="21" customHeight="1">
      <x:c r="A5" s="84" t="str">
        <x:f>IF(OR(B5="",C5=""),"",TEXT(B5,"0")&amp;"|"&amp;C5)</x:f>
        <x:v>1011000|V-261</x:v>
      </x:c>
      <x:c r="B5" s="86" t="n">
        <x:v>1011000</x:v>
      </x:c>
      <x:c r="C5" s="85" t="str">
        <x:v>V-261</x:v>
      </x:c>
      <x:c r="D5" s="84" t="str">
        <x:f>IF(C5="","",LEFT(C5,FIND("-",C5)-1))</x:f>
        <x:v>V</x:v>
      </x:c>
      <x:c r="E5" s="93" t="n">
        <x:f>IF(C5="","",VALUE(MID(C5,FIND("-",C5)+1,10)))</x:f>
        <x:v>261</x:v>
      </x:c>
      <x:c r="F5" s="85" t="str">
        <x:v>Personregister, bind V side 261</x:v>
      </x:c>
      <x:c r="G5" s="85" t="str">
        <x:v>Ready</x:v>
      </x:c>
    </x:row>
    <x:row r="6" ht="21" customHeight="1">
      <x:c r="A6" s="84" t="str">
        <x:f>IF(OR(B6="",C6=""),"",TEXT(B6,"0")&amp;"|"&amp;C6)</x:f>
      </x:c>
      <x:c r="B6" s="88"/>
      <x:c r="C6" s="87"/>
      <x:c r="D6" s="84" t="str">
        <x:f>IF(C6="","",LEFT(C6,FIND("-",C6)-1))</x:f>
      </x:c>
      <x:c r="E6" s="93" t="str">
        <x:f>IF(C6="","",VALUE(MID(C6,FIND("-",C6)+1,10)))</x:f>
      </x:c>
      <x:c r="F6" s="87"/>
      <x:c r="G6" s="87"/>
    </x:row>
    <x:row r="7" ht="21" customHeight="1">
      <x:c r="A7" s="84" t="str">
        <x:f>IF(OR(B7="",C7=""),"",TEXT(B7,"0")&amp;"|"&amp;C7)</x:f>
      </x:c>
      <x:c r="B7" s="88"/>
      <x:c r="C7" s="87"/>
      <x:c r="D7" s="84" t="str">
        <x:f>IF(C7="","",LEFT(C7,FIND("-",C7)-1))</x:f>
      </x:c>
      <x:c r="E7" s="93" t="str">
        <x:f>IF(C7="","",VALUE(MID(C7,FIND("-",C7)+1,10)))</x:f>
      </x:c>
      <x:c r="F7" s="87"/>
      <x:c r="G7" s="87"/>
    </x:row>
    <x:row r="8" ht="21" customHeight="1">
      <x:c r="A8" s="84" t="str">
        <x:f>IF(OR(B8="",C8=""),"",TEXT(B8,"0")&amp;"|"&amp;C8)</x:f>
      </x:c>
      <x:c r="B8" s="88"/>
      <x:c r="C8" s="87"/>
      <x:c r="D8" s="84" t="str">
        <x:f>IF(C8="","",LEFT(C8,FIND("-",C8)-1))</x:f>
      </x:c>
      <x:c r="E8" s="93" t="str">
        <x:f>IF(C8="","",VALUE(MID(C8,FIND("-",C8)+1,10)))</x:f>
      </x:c>
      <x:c r="F8" s="87"/>
      <x:c r="G8" s="87"/>
    </x:row>
    <x:row r="9" ht="21" customHeight="1">
      <x:c r="A9" s="84" t="str">
        <x:f>IF(OR(B9="",C9=""),"",TEXT(B9,"0")&amp;"|"&amp;C9)</x:f>
      </x:c>
      <x:c r="B9" s="88"/>
      <x:c r="C9" s="87"/>
      <x:c r="D9" s="84" t="str">
        <x:f>IF(C9="","",LEFT(C9,FIND("-",C9)-1))</x:f>
      </x:c>
      <x:c r="E9" s="93" t="str">
        <x:f>IF(C9="","",VALUE(MID(C9,FIND("-",C9)+1,10)))</x:f>
      </x:c>
      <x:c r="F9" s="87"/>
      <x:c r="G9" s="87"/>
    </x:row>
    <x:row r="10" ht="21" customHeight="1">
      <x:c r="A10" s="84" t="str">
        <x:f>IF(OR(B10="",C10=""),"",TEXT(B10,"0")&amp;"|"&amp;C10)</x:f>
      </x:c>
      <x:c r="B10" s="88"/>
      <x:c r="C10" s="87"/>
      <x:c r="D10" s="84" t="str">
        <x:f>IF(C10="","",LEFT(C10,FIND("-",C10)-1))</x:f>
      </x:c>
      <x:c r="E10" s="93" t="str">
        <x:f>IF(C10="","",VALUE(MID(C10,FIND("-",C10)+1,10)))</x:f>
      </x:c>
      <x:c r="F10" s="87"/>
      <x:c r="G10" s="87"/>
    </x:row>
    <x:row r="11" ht="21" customHeight="1">
      <x:c r="A11" s="84" t="str">
        <x:f>IF(OR(B11="",C11=""),"",TEXT(B11,"0")&amp;"|"&amp;C11)</x:f>
      </x:c>
      <x:c r="B11" s="88"/>
      <x:c r="C11" s="87"/>
      <x:c r="D11" s="84" t="str">
        <x:f>IF(C11="","",LEFT(C11,FIND("-",C11)-1))</x:f>
      </x:c>
      <x:c r="E11" s="93" t="str">
        <x:f>IF(C11="","",VALUE(MID(C11,FIND("-",C11)+1,10)))</x:f>
      </x:c>
      <x:c r="F11" s="87"/>
      <x:c r="G11" s="87"/>
    </x:row>
    <x:row r="12" ht="21" customHeight="1">
      <x:c r="A12" s="84" t="str">
        <x:f>IF(OR(B12="",C12=""),"",TEXT(B12,"0")&amp;"|"&amp;C12)</x:f>
      </x:c>
      <x:c r="B12" s="88"/>
      <x:c r="C12" s="87"/>
      <x:c r="D12" s="84" t="str">
        <x:f>IF(C12="","",LEFT(C12,FIND("-",C12)-1))</x:f>
      </x:c>
      <x:c r="E12" s="93" t="str">
        <x:f>IF(C12="","",VALUE(MID(C12,FIND("-",C12)+1,10)))</x:f>
      </x:c>
      <x:c r="F12" s="87"/>
      <x:c r="G12" s="87"/>
    </x:row>
    <x:row r="13" ht="21" customHeight="1">
      <x:c r="A13" s="84" t="str">
        <x:f>IF(OR(B13="",C13=""),"",TEXT(B13,"0")&amp;"|"&amp;C13)</x:f>
      </x:c>
      <x:c r="B13" s="88"/>
      <x:c r="C13" s="87"/>
      <x:c r="D13" s="84" t="str">
        <x:f>IF(C13="","",LEFT(C13,FIND("-",C13)-1))</x:f>
      </x:c>
      <x:c r="E13" s="93" t="str">
        <x:f>IF(C13="","",VALUE(MID(C13,FIND("-",C13)+1,10)))</x:f>
      </x:c>
      <x:c r="F13" s="87"/>
      <x:c r="G13" s="87"/>
    </x:row>
    <x:row r="14" ht="21" customHeight="1">
      <x:c r="A14" s="84" t="str">
        <x:f>IF(OR(B14="",C14=""),"",TEXT(B14,"0")&amp;"|"&amp;C14)</x:f>
      </x:c>
      <x:c r="B14" s="88"/>
      <x:c r="C14" s="87"/>
      <x:c r="D14" s="84" t="str">
        <x:f>IF(C14="","",LEFT(C14,FIND("-",C14)-1))</x:f>
      </x:c>
      <x:c r="E14" s="93" t="str">
        <x:f>IF(C14="","",VALUE(MID(C14,FIND("-",C14)+1,10)))</x:f>
      </x:c>
      <x:c r="F14" s="87"/>
      <x:c r="G14" s="87"/>
    </x:row>
    <x:row r="15" ht="21" customHeight="1">
      <x:c r="A15" s="84" t="str">
        <x:f>IF(OR(B15="",C15=""),"",TEXT(B15,"0")&amp;"|"&amp;C15)</x:f>
      </x:c>
      <x:c r="B15" s="88"/>
      <x:c r="C15" s="87"/>
      <x:c r="D15" s="84" t="str">
        <x:f>IF(C15="","",LEFT(C15,FIND("-",C15)-1))</x:f>
      </x:c>
      <x:c r="E15" s="93" t="str">
        <x:f>IF(C15="","",VALUE(MID(C15,FIND("-",C15)+1,10)))</x:f>
      </x:c>
      <x:c r="F15" s="87"/>
      <x:c r="G15" s="87"/>
    </x:row>
    <x:row r="16" ht="21" customHeight="1">
      <x:c r="A16" s="84" t="str">
        <x:f>IF(OR(B16="",C16=""),"",TEXT(B16,"0")&amp;"|"&amp;C16)</x:f>
      </x:c>
      <x:c r="B16" s="88"/>
      <x:c r="C16" s="87"/>
      <x:c r="D16" s="84" t="str">
        <x:f>IF(C16="","",LEFT(C16,FIND("-",C16)-1))</x:f>
      </x:c>
      <x:c r="E16" s="93" t="str">
        <x:f>IF(C16="","",VALUE(MID(C16,FIND("-",C16)+1,10)))</x:f>
      </x:c>
      <x:c r="F16" s="87"/>
      <x:c r="G16" s="87"/>
    </x:row>
    <x:row r="17" ht="21" customHeight="1">
      <x:c r="A17" s="84" t="str">
        <x:f>IF(OR(B17="",C17=""),"",TEXT(B17,"0")&amp;"|"&amp;C17)</x:f>
      </x:c>
      <x:c r="B17" s="88"/>
      <x:c r="C17" s="87"/>
      <x:c r="D17" s="84" t="str">
        <x:f>IF(C17="","",LEFT(C17,FIND("-",C17)-1))</x:f>
      </x:c>
      <x:c r="E17" s="93" t="str">
        <x:f>IF(C17="","",VALUE(MID(C17,FIND("-",C17)+1,10)))</x:f>
      </x:c>
      <x:c r="F17" s="87"/>
      <x:c r="G17" s="87"/>
    </x:row>
    <x:row r="18" ht="21" customHeight="1">
      <x:c r="A18" s="84" t="str">
        <x:f>IF(OR(B18="",C18=""),"",TEXT(B18,"0")&amp;"|"&amp;C18)</x:f>
      </x:c>
      <x:c r="B18" s="88"/>
      <x:c r="C18" s="87"/>
      <x:c r="D18" s="84" t="str">
        <x:f>IF(C18="","",LEFT(C18,FIND("-",C18)-1))</x:f>
      </x:c>
      <x:c r="E18" s="93" t="str">
        <x:f>IF(C18="","",VALUE(MID(C18,FIND("-",C18)+1,10)))</x:f>
      </x:c>
      <x:c r="F18" s="87"/>
      <x:c r="G18" s="87"/>
    </x:row>
    <x:row r="19" ht="21" customHeight="1">
      <x:c r="A19" s="84" t="str">
        <x:f>IF(OR(B19="",C19=""),"",TEXT(B19,"0")&amp;"|"&amp;C19)</x:f>
      </x:c>
      <x:c r="B19" s="88"/>
      <x:c r="C19" s="87"/>
      <x:c r="D19" s="84" t="str">
        <x:f>IF(C19="","",LEFT(C19,FIND("-",C19)-1))</x:f>
      </x:c>
      <x:c r="E19" s="93" t="str">
        <x:f>IF(C19="","",VALUE(MID(C19,FIND("-",C19)+1,10)))</x:f>
      </x:c>
      <x:c r="F19" s="87"/>
      <x:c r="G19" s="87"/>
    </x:row>
    <x:row r="20" ht="21" customHeight="1">
      <x:c r="A20" s="84" t="str">
        <x:f>IF(OR(B20="",C20=""),"",TEXT(B20,"0")&amp;"|"&amp;C20)</x:f>
      </x:c>
      <x:c r="B20" s="88"/>
      <x:c r="C20" s="87"/>
      <x:c r="D20" s="84" t="str">
        <x:f>IF(C20="","",LEFT(C20,FIND("-",C20)-1))</x:f>
      </x:c>
      <x:c r="E20" s="93" t="str">
        <x:f>IF(C20="","",VALUE(MID(C20,FIND("-",C20)+1,10)))</x:f>
      </x:c>
      <x:c r="F20" s="87"/>
      <x:c r="G20" s="87"/>
    </x:row>
    <x:row r="21" ht="21" customHeight="1">
      <x:c r="A21" s="84" t="str">
        <x:f>IF(OR(B21="",C21=""),"",TEXT(B21,"0")&amp;"|"&amp;C21)</x:f>
      </x:c>
      <x:c r="B21" s="88"/>
      <x:c r="C21" s="87"/>
      <x:c r="D21" s="84" t="str">
        <x:f>IF(C21="","",LEFT(C21,FIND("-",C21)-1))</x:f>
      </x:c>
      <x:c r="E21" s="93" t="str">
        <x:f>IF(C21="","",VALUE(MID(C21,FIND("-",C21)+1,10)))</x:f>
      </x:c>
      <x:c r="F21" s="87"/>
      <x:c r="G21" s="87"/>
    </x:row>
    <x:row r="22" ht="21" customHeight="1">
      <x:c r="A22" s="84" t="str">
        <x:f>IF(OR(B22="",C22=""),"",TEXT(B22,"0")&amp;"|"&amp;C22)</x:f>
      </x:c>
      <x:c r="B22" s="88"/>
      <x:c r="C22" s="87"/>
      <x:c r="D22" s="84" t="str">
        <x:f>IF(C22="","",LEFT(C22,FIND("-",C22)-1))</x:f>
      </x:c>
      <x:c r="E22" s="93" t="str">
        <x:f>IF(C22="","",VALUE(MID(C22,FIND("-",C22)+1,10)))</x:f>
      </x:c>
      <x:c r="F22" s="87"/>
      <x:c r="G22" s="87"/>
    </x:row>
    <x:row r="23" ht="21" customHeight="1">
      <x:c r="A23" s="84" t="str">
        <x:f>IF(OR(B23="",C23=""),"",TEXT(B23,"0")&amp;"|"&amp;C23)</x:f>
      </x:c>
      <x:c r="B23" s="88"/>
      <x:c r="C23" s="87"/>
      <x:c r="D23" s="84" t="str">
        <x:f>IF(C23="","",LEFT(C23,FIND("-",C23)-1))</x:f>
      </x:c>
      <x:c r="E23" s="93" t="str">
        <x:f>IF(C23="","",VALUE(MID(C23,FIND("-",C23)+1,10)))</x:f>
      </x:c>
      <x:c r="F23" s="87"/>
      <x:c r="G23" s="87"/>
    </x:row>
    <x:row r="24" ht="21" customHeight="1">
      <x:c r="A24" s="84" t="str">
        <x:f>IF(OR(B24="",C24=""),"",TEXT(B24,"0")&amp;"|"&amp;C24)</x:f>
      </x:c>
      <x:c r="B24" s="88"/>
      <x:c r="C24" s="87"/>
      <x:c r="D24" s="84" t="str">
        <x:f>IF(C24="","",LEFT(C24,FIND("-",C24)-1))</x:f>
      </x:c>
      <x:c r="E24" s="93" t="str">
        <x:f>IF(C24="","",VALUE(MID(C24,FIND("-",C24)+1,10)))</x:f>
      </x:c>
      <x:c r="F24" s="87"/>
      <x:c r="G24" s="87"/>
    </x:row>
    <x:row r="25" ht="21" customHeight="1">
      <x:c r="A25" s="84" t="str">
        <x:f>IF(OR(B25="",C25=""),"",TEXT(B25,"0")&amp;"|"&amp;C25)</x:f>
      </x:c>
      <x:c r="B25" s="88"/>
      <x:c r="C25" s="87"/>
      <x:c r="D25" s="84" t="str">
        <x:f>IF(C25="","",LEFT(C25,FIND("-",C25)-1))</x:f>
      </x:c>
      <x:c r="E25" s="93" t="str">
        <x:f>IF(C25="","",VALUE(MID(C25,FIND("-",C25)+1,10)))</x:f>
      </x:c>
      <x:c r="F25" s="87"/>
      <x:c r="G25" s="87"/>
    </x:row>
    <x:row r="26" ht="21" customHeight="1">
      <x:c r="A26" s="84" t="str">
        <x:f>IF(OR(B26="",C26=""),"",TEXT(B26,"0")&amp;"|"&amp;C26)</x:f>
      </x:c>
      <x:c r="B26" s="88"/>
      <x:c r="C26" s="87"/>
      <x:c r="D26" s="84" t="str">
        <x:f>IF(C26="","",LEFT(C26,FIND("-",C26)-1))</x:f>
      </x:c>
      <x:c r="E26" s="93" t="str">
        <x:f>IF(C26="","",VALUE(MID(C26,FIND("-",C26)+1,10)))</x:f>
      </x:c>
      <x:c r="F26" s="87"/>
      <x:c r="G26" s="87"/>
    </x:row>
    <x:row r="27" ht="21" customHeight="1">
      <x:c r="A27" s="84" t="str">
        <x:f>IF(OR(B27="",C27=""),"",TEXT(B27,"0")&amp;"|"&amp;C27)</x:f>
      </x:c>
      <x:c r="B27" s="88"/>
      <x:c r="C27" s="87"/>
      <x:c r="D27" s="84" t="str">
        <x:f>IF(C27="","",LEFT(C27,FIND("-",C27)-1))</x:f>
      </x:c>
      <x:c r="E27" s="93" t="str">
        <x:f>IF(C27="","",VALUE(MID(C27,FIND("-",C27)+1,10)))</x:f>
      </x:c>
      <x:c r="F27" s="87"/>
      <x:c r="G27" s="87"/>
    </x:row>
    <x:row r="28" ht="21" customHeight="1">
      <x:c r="A28" s="84" t="str">
        <x:f>IF(OR(B28="",C28=""),"",TEXT(B28,"0")&amp;"|"&amp;C28)</x:f>
      </x:c>
      <x:c r="B28" s="88"/>
      <x:c r="C28" s="87"/>
      <x:c r="D28" s="84" t="str">
        <x:f>IF(C28="","",LEFT(C28,FIND("-",C28)-1))</x:f>
      </x:c>
      <x:c r="E28" s="93" t="str">
        <x:f>IF(C28="","",VALUE(MID(C28,FIND("-",C28)+1,10)))</x:f>
      </x:c>
      <x:c r="F28" s="87"/>
      <x:c r="G28" s="87"/>
    </x:row>
    <x:row r="29" ht="21" customHeight="1">
      <x:c r="A29" s="84" t="str">
        <x:f>IF(OR(B29="",C29=""),"",TEXT(B29,"0")&amp;"|"&amp;C29)</x:f>
      </x:c>
      <x:c r="B29" s="88"/>
      <x:c r="C29" s="87"/>
      <x:c r="D29" s="84" t="str">
        <x:f>IF(C29="","",LEFT(C29,FIND("-",C29)-1))</x:f>
      </x:c>
      <x:c r="E29" s="93" t="str">
        <x:f>IF(C29="","",VALUE(MID(C29,FIND("-",C29)+1,10)))</x:f>
      </x:c>
      <x:c r="F29" s="87"/>
      <x:c r="G29" s="87"/>
    </x:row>
  </x:sheetData>
  <x:mergeCells>
    <x:mergeCell ref="A1:G1"/>
    <x:mergeCell ref="A2:G2"/>
  </x:mergeCells>
  <x:dataValidations count="3">
    <x:dataValidation type="list" sqref="B5:B29">
      <x:formula1>'Personer'!$A$5:$A$29</x:formula1>
    </x:dataValidation>
    <x:dataValidation type="list" sqref="C5:C29">
      <x:formula1>'Dagbogssider'!$A$5:$A$29</x:formula1>
    </x:dataValidation>
    <x:dataValidation type="list" sqref="G5:G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37297b310349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4.440000534057617" hidden="0" customWidth="1"/>
    <x:col min="3" max="3" width="17.780000686645508" hidden="0" customWidth="1"/>
    <x:col min="4" max="4" width="15" hidden="0" customWidth="1"/>
    <x:col min="5" max="5" width="12.220000267028809" hidden="0" customWidth="1"/>
    <x:col min="6" max="6" width="12.220000267028809" hidden="0" customWidth="1"/>
    <x:col min="7" max="7" width="10.5600004196167" hidden="0" customWidth="1"/>
    <x:col min="8" max="8" width="10.5600004196167" hidden="0" customWidth="1"/>
    <x:col min="9" max="9" width="12.220000267028809" hidden="0" customWidth="1"/>
  </x:cols>
  <x:sheetData>
    <x:row r="1" ht="31" customHeight="1">
      <x:c r="A1" s="3" t="str">
        <x:v>Stedregister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Normaliserede steder med mulighed for eksterne identifikatorer og koordinater.</x:v>
      </x:c>
      <x:c r="B2" s="7"/>
      <x:c r="C2" s="7"/>
      <x:c r="D2" s="7"/>
      <x:c r="E2" s="7"/>
      <x:c r="F2" s="7"/>
      <x:c r="G2" s="7"/>
      <x:c r="H2" s="7"/>
      <x:c r="I2" s="7"/>
    </x:row>
    <x:row r="4" ht="31" customHeight="1">
      <x:c r="A4" s="76" t="str">
        <x:v>LocationID*</x:v>
      </x:c>
      <x:c r="B4" s="76" t="str">
        <x:v>LocationTitle*</x:v>
      </x:c>
      <x:c r="C4" s="76" t="str">
        <x:v>CountryArea</x:v>
      </x:c>
      <x:c r="D4" s="76" t="str">
        <x:v>PlaceType*</x:v>
      </x:c>
      <x:c r="E4" s="76" t="str">
        <x:v>GeoNamesID</x:v>
      </x:c>
      <x:c r="F4" s="76" t="str">
        <x:v>WikidataID</x:v>
      </x:c>
      <x:c r="G4" s="76" t="str">
        <x:v>Latitude</x:v>
      </x:c>
      <x:c r="H4" s="76" t="str">
        <x:v>Longitude</x:v>
      </x:c>
      <x:c r="I4" s="76" t="str">
        <x:v>SourceStatus*</x:v>
      </x:c>
    </x:row>
    <x:row r="5" ht="21" customHeight="1">
      <x:c r="A5" s="85" t="str">
        <x:v>LOC000001</x:v>
      </x:c>
      <x:c r="B5" s="85" t="str">
        <x:v>Alhambra</x:v>
      </x:c>
      <x:c r="C5" s="85" t="str">
        <x:v>Spanien</x:v>
      </x:c>
      <x:c r="D5" s="85" t="str">
        <x:v>Historic Site</x:v>
      </x:c>
      <x:c r="E5" s="85" t="str">
        <x:v>2519239</x:v>
      </x:c>
      <x:c r="F5" s="85" t="str">
        <x:v>Q47476</x:v>
      </x:c>
      <x:c r="G5" s="97" t="n">
        <x:v>37.1761</x:v>
      </x:c>
      <x:c r="H5" s="97" t="n">
        <x:v>-3.5881</x:v>
      </x:c>
      <x:c r="I5" s="85" t="str">
        <x:v>Ready</x:v>
      </x:c>
    </x:row>
    <x:row r="6" ht="21" customHeight="1">
      <x:c r="A6" s="87"/>
      <x:c r="B6" s="87"/>
      <x:c r="C6" s="87"/>
      <x:c r="D6" s="87"/>
      <x:c r="E6" s="87"/>
      <x:c r="F6" s="87"/>
      <x:c r="G6" s="98"/>
      <x:c r="H6" s="98"/>
      <x:c r="I6" s="87"/>
    </x:row>
    <x:row r="7" ht="21" customHeight="1">
      <x:c r="A7" s="87"/>
      <x:c r="B7" s="87"/>
      <x:c r="C7" s="87"/>
      <x:c r="D7" s="87"/>
      <x:c r="E7" s="87"/>
      <x:c r="F7" s="87"/>
      <x:c r="G7" s="98"/>
      <x:c r="H7" s="98"/>
      <x:c r="I7" s="87"/>
    </x:row>
    <x:row r="8" ht="21" customHeight="1">
      <x:c r="A8" s="87"/>
      <x:c r="B8" s="87"/>
      <x:c r="C8" s="87"/>
      <x:c r="D8" s="87"/>
      <x:c r="E8" s="87"/>
      <x:c r="F8" s="87"/>
      <x:c r="G8" s="98"/>
      <x:c r="H8" s="98"/>
      <x:c r="I8" s="87"/>
    </x:row>
    <x:row r="9" ht="21" customHeight="1">
      <x:c r="A9" s="87"/>
      <x:c r="B9" s="87"/>
      <x:c r="C9" s="87"/>
      <x:c r="D9" s="87"/>
      <x:c r="E9" s="87"/>
      <x:c r="F9" s="87"/>
      <x:c r="G9" s="98"/>
      <x:c r="H9" s="98"/>
      <x:c r="I9" s="87"/>
    </x:row>
    <x:row r="10" ht="21" customHeight="1">
      <x:c r="A10" s="87"/>
      <x:c r="B10" s="87"/>
      <x:c r="C10" s="87"/>
      <x:c r="D10" s="87"/>
      <x:c r="E10" s="87"/>
      <x:c r="F10" s="87"/>
      <x:c r="G10" s="98"/>
      <x:c r="H10" s="98"/>
      <x:c r="I10" s="87"/>
    </x:row>
    <x:row r="11" ht="21" customHeight="1">
      <x:c r="A11" s="87"/>
      <x:c r="B11" s="87"/>
      <x:c r="C11" s="87"/>
      <x:c r="D11" s="87"/>
      <x:c r="E11" s="87"/>
      <x:c r="F11" s="87"/>
      <x:c r="G11" s="98"/>
      <x:c r="H11" s="98"/>
      <x:c r="I11" s="87"/>
    </x:row>
    <x:row r="12" ht="21" customHeight="1">
      <x:c r="A12" s="87"/>
      <x:c r="B12" s="87"/>
      <x:c r="C12" s="87"/>
      <x:c r="D12" s="87"/>
      <x:c r="E12" s="87"/>
      <x:c r="F12" s="87"/>
      <x:c r="G12" s="98"/>
      <x:c r="H12" s="98"/>
      <x:c r="I12" s="87"/>
    </x:row>
    <x:row r="13" ht="21" customHeight="1">
      <x:c r="A13" s="87"/>
      <x:c r="B13" s="87"/>
      <x:c r="C13" s="87"/>
      <x:c r="D13" s="87"/>
      <x:c r="E13" s="87"/>
      <x:c r="F13" s="87"/>
      <x:c r="G13" s="98"/>
      <x:c r="H13" s="98"/>
      <x:c r="I13" s="87"/>
    </x:row>
    <x:row r="14" ht="21" customHeight="1">
      <x:c r="A14" s="87"/>
      <x:c r="B14" s="87"/>
      <x:c r="C14" s="87"/>
      <x:c r="D14" s="87"/>
      <x:c r="E14" s="87"/>
      <x:c r="F14" s="87"/>
      <x:c r="G14" s="98"/>
      <x:c r="H14" s="98"/>
      <x:c r="I14" s="87"/>
    </x:row>
    <x:row r="15" ht="21" customHeight="1">
      <x:c r="A15" s="87"/>
      <x:c r="B15" s="87"/>
      <x:c r="C15" s="87"/>
      <x:c r="D15" s="87"/>
      <x:c r="E15" s="87"/>
      <x:c r="F15" s="87"/>
      <x:c r="G15" s="98"/>
      <x:c r="H15" s="98"/>
      <x:c r="I15" s="87"/>
    </x:row>
    <x:row r="16" ht="21" customHeight="1">
      <x:c r="A16" s="87"/>
      <x:c r="B16" s="87"/>
      <x:c r="C16" s="87"/>
      <x:c r="D16" s="87"/>
      <x:c r="E16" s="87"/>
      <x:c r="F16" s="87"/>
      <x:c r="G16" s="98"/>
      <x:c r="H16" s="98"/>
      <x:c r="I16" s="87"/>
    </x:row>
    <x:row r="17" ht="21" customHeight="1">
      <x:c r="A17" s="87"/>
      <x:c r="B17" s="87"/>
      <x:c r="C17" s="87"/>
      <x:c r="D17" s="87"/>
      <x:c r="E17" s="87"/>
      <x:c r="F17" s="87"/>
      <x:c r="G17" s="98"/>
      <x:c r="H17" s="98"/>
      <x:c r="I17" s="87"/>
    </x:row>
    <x:row r="18" ht="21" customHeight="1">
      <x:c r="A18" s="87"/>
      <x:c r="B18" s="87"/>
      <x:c r="C18" s="87"/>
      <x:c r="D18" s="87"/>
      <x:c r="E18" s="87"/>
      <x:c r="F18" s="87"/>
      <x:c r="G18" s="98"/>
      <x:c r="H18" s="98"/>
      <x:c r="I18" s="87"/>
    </x:row>
    <x:row r="19" ht="21" customHeight="1">
      <x:c r="A19" s="87"/>
      <x:c r="B19" s="87"/>
      <x:c r="C19" s="87"/>
      <x:c r="D19" s="87"/>
      <x:c r="E19" s="87"/>
      <x:c r="F19" s="87"/>
      <x:c r="G19" s="98"/>
      <x:c r="H19" s="98"/>
      <x:c r="I19" s="87"/>
    </x:row>
    <x:row r="20" ht="21" customHeight="1">
      <x:c r="A20" s="87"/>
      <x:c r="B20" s="87"/>
      <x:c r="C20" s="87"/>
      <x:c r="D20" s="87"/>
      <x:c r="E20" s="87"/>
      <x:c r="F20" s="87"/>
      <x:c r="G20" s="98"/>
      <x:c r="H20" s="98"/>
      <x:c r="I20" s="87"/>
    </x:row>
    <x:row r="21" ht="21" customHeight="1">
      <x:c r="A21" s="87"/>
      <x:c r="B21" s="87"/>
      <x:c r="C21" s="87"/>
      <x:c r="D21" s="87"/>
      <x:c r="E21" s="87"/>
      <x:c r="F21" s="87"/>
      <x:c r="G21" s="98"/>
      <x:c r="H21" s="98"/>
      <x:c r="I21" s="87"/>
    </x:row>
    <x:row r="22" ht="21" customHeight="1">
      <x:c r="A22" s="87"/>
      <x:c r="B22" s="87"/>
      <x:c r="C22" s="87"/>
      <x:c r="D22" s="87"/>
      <x:c r="E22" s="87"/>
      <x:c r="F22" s="87"/>
      <x:c r="G22" s="98"/>
      <x:c r="H22" s="98"/>
      <x:c r="I22" s="87"/>
    </x:row>
    <x:row r="23" ht="21" customHeight="1">
      <x:c r="A23" s="87"/>
      <x:c r="B23" s="87"/>
      <x:c r="C23" s="87"/>
      <x:c r="D23" s="87"/>
      <x:c r="E23" s="87"/>
      <x:c r="F23" s="87"/>
      <x:c r="G23" s="98"/>
      <x:c r="H23" s="98"/>
      <x:c r="I23" s="87"/>
    </x:row>
    <x:row r="24" ht="21" customHeight="1">
      <x:c r="A24" s="87"/>
      <x:c r="B24" s="87"/>
      <x:c r="C24" s="87"/>
      <x:c r="D24" s="87"/>
      <x:c r="E24" s="87"/>
      <x:c r="F24" s="87"/>
      <x:c r="G24" s="98"/>
      <x:c r="H24" s="98"/>
      <x:c r="I24" s="87"/>
    </x:row>
    <x:row r="25" ht="21" customHeight="1">
      <x:c r="A25" s="87"/>
      <x:c r="B25" s="87"/>
      <x:c r="C25" s="87"/>
      <x:c r="D25" s="87"/>
      <x:c r="E25" s="87"/>
      <x:c r="F25" s="87"/>
      <x:c r="G25" s="98"/>
      <x:c r="H25" s="98"/>
      <x:c r="I25" s="87"/>
    </x:row>
    <x:row r="26" ht="21" customHeight="1">
      <x:c r="A26" s="87"/>
      <x:c r="B26" s="87"/>
      <x:c r="C26" s="87"/>
      <x:c r="D26" s="87"/>
      <x:c r="E26" s="87"/>
      <x:c r="F26" s="87"/>
      <x:c r="G26" s="98"/>
      <x:c r="H26" s="98"/>
      <x:c r="I26" s="87"/>
    </x:row>
    <x:row r="27" ht="21" customHeight="1">
      <x:c r="A27" s="87"/>
      <x:c r="B27" s="87"/>
      <x:c r="C27" s="87"/>
      <x:c r="D27" s="87"/>
      <x:c r="E27" s="87"/>
      <x:c r="F27" s="87"/>
      <x:c r="G27" s="98"/>
      <x:c r="H27" s="98"/>
      <x:c r="I27" s="87"/>
    </x:row>
    <x:row r="28" ht="21" customHeight="1">
      <x:c r="A28" s="87"/>
      <x:c r="B28" s="87"/>
      <x:c r="C28" s="87"/>
      <x:c r="D28" s="87"/>
      <x:c r="E28" s="87"/>
      <x:c r="F28" s="87"/>
      <x:c r="G28" s="98"/>
      <x:c r="H28" s="98"/>
      <x:c r="I28" s="87"/>
    </x:row>
    <x:row r="29" ht="21" customHeight="1">
      <x:c r="A29" s="87"/>
      <x:c r="B29" s="87"/>
      <x:c r="C29" s="87"/>
      <x:c r="D29" s="87"/>
      <x:c r="E29" s="87"/>
      <x:c r="F29" s="87"/>
      <x:c r="G29" s="98"/>
      <x:c r="H29" s="98"/>
      <x:c r="I29" s="87"/>
    </x:row>
  </x:sheetData>
  <x:mergeCells>
    <x:mergeCell ref="A1:I1"/>
    <x:mergeCell ref="A2:I2"/>
  </x:mergeCells>
  <x:dataValidations count="2">
    <x:dataValidation type="list" sqref="D5:D29">
      <x:formula1>"City/Town,Country,Continent,Region,Historic Site,Building,Landscape,Unknown"</x:formula1>
    </x:dataValidation>
    <x:dataValidation type="list" sqref="I5:I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6e7e5f8db74e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2.779999732971191" hidden="0" customWidth="1"/>
    <x:col min="3" max="3" width="11.670000076293945" hidden="0" customWidth="1"/>
    <x:col min="4" max="4" width="40" hidden="0" customWidth="1"/>
    <x:col min="5" max="5" width="12.779999732971191" hidden="0" customWidth="1"/>
  </x:cols>
  <x:sheetData>
    <x:row r="1" ht="31" customHeight="1">
      <x:c r="A1" s="3" t="str">
        <x:v>Bro: sted ↔ dagbogsside</x:v>
      </x:c>
      <x:c r="B1" s="3"/>
      <x:c r="C1" s="3"/>
      <x:c r="D1" s="3"/>
      <x:c r="E1" s="3"/>
    </x:row>
    <x:row r="2" ht="34" customHeight="1">
      <x:c r="A2" s="7" t="str">
        <x:v>Mange-til-mange-relation mellem normaliserede steder og dagbogssider.</x:v>
      </x:c>
      <x:c r="B2" s="7"/>
      <x:c r="C2" s="7"/>
      <x:c r="D2" s="7"/>
      <x:c r="E2" s="7"/>
    </x:row>
    <x:row r="4" ht="31" customHeight="1">
      <x:c r="A4" s="76" t="str">
        <x:v>LocationPageKey*</x:v>
      </x:c>
      <x:c r="B4" s="76" t="str">
        <x:v>LocationID*</x:v>
      </x:c>
      <x:c r="C4" s="76" t="str">
        <x:v>PageKey*</x:v>
      </x:c>
      <x:c r="D4" s="76" t="str">
        <x:v>SourceReference</x:v>
      </x:c>
      <x:c r="E4" s="76" t="str">
        <x:v>RelationStatus*</x:v>
      </x:c>
    </x:row>
    <x:row r="5" ht="21" customHeight="1">
      <x:c r="A5" s="84" t="str">
        <x:f>IF(OR(B5="",C5=""),"",B5&amp;"|"&amp;C5)</x:f>
        <x:v>LOC000001|V-261</x:v>
      </x:c>
      <x:c r="B5" s="85" t="str">
        <x:v>LOC000001</x:v>
      </x:c>
      <x:c r="C5" s="85" t="str">
        <x:v>V-261</x:v>
      </x:c>
      <x:c r="D5" s="85" t="str">
        <x:v>Stedregister, Alhambra, bind V side 261</x:v>
      </x:c>
      <x:c r="E5" s="85" t="str">
        <x:v>Ready</x:v>
      </x:c>
    </x:row>
    <x:row r="6" ht="21" customHeight="1">
      <x:c r="A6" s="84" t="str">
        <x:f>IF(OR(B6="",C6=""),"",B6&amp;"|"&amp;C6)</x:f>
      </x:c>
      <x:c r="B6" s="87"/>
      <x:c r="C6" s="87"/>
      <x:c r="D6" s="87"/>
      <x:c r="E6" s="87"/>
    </x:row>
    <x:row r="7" ht="21" customHeight="1">
      <x:c r="A7" s="84" t="str">
        <x:f>IF(OR(B7="",C7=""),"",B7&amp;"|"&amp;C7)</x:f>
      </x:c>
      <x:c r="B7" s="87"/>
      <x:c r="C7" s="87"/>
      <x:c r="D7" s="87"/>
      <x:c r="E7" s="87"/>
    </x:row>
    <x:row r="8" ht="21" customHeight="1">
      <x:c r="A8" s="84" t="str">
        <x:f>IF(OR(B8="",C8=""),"",B8&amp;"|"&amp;C8)</x:f>
      </x:c>
      <x:c r="B8" s="87"/>
      <x:c r="C8" s="87"/>
      <x:c r="D8" s="87"/>
      <x:c r="E8" s="87"/>
    </x:row>
    <x:row r="9" ht="21" customHeight="1">
      <x:c r="A9" s="84" t="str">
        <x:f>IF(OR(B9="",C9=""),"",B9&amp;"|"&amp;C9)</x:f>
      </x:c>
      <x:c r="B9" s="87"/>
      <x:c r="C9" s="87"/>
      <x:c r="D9" s="87"/>
      <x:c r="E9" s="87"/>
    </x:row>
    <x:row r="10" ht="21" customHeight="1">
      <x:c r="A10" s="84" t="str">
        <x:f>IF(OR(B10="",C10=""),"",B10&amp;"|"&amp;C10)</x:f>
      </x:c>
      <x:c r="B10" s="87"/>
      <x:c r="C10" s="87"/>
      <x:c r="D10" s="87"/>
      <x:c r="E10" s="87"/>
    </x:row>
    <x:row r="11" ht="21" customHeight="1">
      <x:c r="A11" s="84" t="str">
        <x:f>IF(OR(B11="",C11=""),"",B11&amp;"|"&amp;C11)</x:f>
      </x:c>
      <x:c r="B11" s="87"/>
      <x:c r="C11" s="87"/>
      <x:c r="D11" s="87"/>
      <x:c r="E11" s="87"/>
    </x:row>
    <x:row r="12" ht="21" customHeight="1">
      <x:c r="A12" s="84" t="str">
        <x:f>IF(OR(B12="",C12=""),"",B12&amp;"|"&amp;C12)</x:f>
      </x:c>
      <x:c r="B12" s="87"/>
      <x:c r="C12" s="87"/>
      <x:c r="D12" s="87"/>
      <x:c r="E12" s="87"/>
    </x:row>
    <x:row r="13" ht="21" customHeight="1">
      <x:c r="A13" s="84" t="str">
        <x:f>IF(OR(B13="",C13=""),"",B13&amp;"|"&amp;C13)</x:f>
      </x:c>
      <x:c r="B13" s="87"/>
      <x:c r="C13" s="87"/>
      <x:c r="D13" s="87"/>
      <x:c r="E13" s="87"/>
    </x:row>
    <x:row r="14" ht="21" customHeight="1">
      <x:c r="A14" s="84" t="str">
        <x:f>IF(OR(B14="",C14=""),"",B14&amp;"|"&amp;C14)</x:f>
      </x:c>
      <x:c r="B14" s="87"/>
      <x:c r="C14" s="87"/>
      <x:c r="D14" s="87"/>
      <x:c r="E14" s="87"/>
    </x:row>
    <x:row r="15" ht="21" customHeight="1">
      <x:c r="A15" s="84" t="str">
        <x:f>IF(OR(B15="",C15=""),"",B15&amp;"|"&amp;C15)</x:f>
      </x:c>
      <x:c r="B15" s="87"/>
      <x:c r="C15" s="87"/>
      <x:c r="D15" s="87"/>
      <x:c r="E15" s="87"/>
    </x:row>
    <x:row r="16" ht="21" customHeight="1">
      <x:c r="A16" s="84" t="str">
        <x:f>IF(OR(B16="",C16=""),"",B16&amp;"|"&amp;C16)</x:f>
      </x:c>
      <x:c r="B16" s="87"/>
      <x:c r="C16" s="87"/>
      <x:c r="D16" s="87"/>
      <x:c r="E16" s="87"/>
    </x:row>
    <x:row r="17" ht="21" customHeight="1">
      <x:c r="A17" s="84" t="str">
        <x:f>IF(OR(B17="",C17=""),"",B17&amp;"|"&amp;C17)</x:f>
      </x:c>
      <x:c r="B17" s="87"/>
      <x:c r="C17" s="87"/>
      <x:c r="D17" s="87"/>
      <x:c r="E17" s="87"/>
    </x:row>
    <x:row r="18" ht="21" customHeight="1">
      <x:c r="A18" s="84" t="str">
        <x:f>IF(OR(B18="",C18=""),"",B18&amp;"|"&amp;C18)</x:f>
      </x:c>
      <x:c r="B18" s="87"/>
      <x:c r="C18" s="87"/>
      <x:c r="D18" s="87"/>
      <x:c r="E18" s="87"/>
    </x:row>
    <x:row r="19" ht="21" customHeight="1">
      <x:c r="A19" s="84" t="str">
        <x:f>IF(OR(B19="",C19=""),"",B19&amp;"|"&amp;C19)</x:f>
      </x:c>
      <x:c r="B19" s="87"/>
      <x:c r="C19" s="87"/>
      <x:c r="D19" s="87"/>
      <x:c r="E19" s="87"/>
    </x:row>
    <x:row r="20" ht="21" customHeight="1">
      <x:c r="A20" s="84" t="str">
        <x:f>IF(OR(B20="",C20=""),"",B20&amp;"|"&amp;C20)</x:f>
      </x:c>
      <x:c r="B20" s="87"/>
      <x:c r="C20" s="87"/>
      <x:c r="D20" s="87"/>
      <x:c r="E20" s="87"/>
    </x:row>
    <x:row r="21" ht="21" customHeight="1">
      <x:c r="A21" s="84" t="str">
        <x:f>IF(OR(B21="",C21=""),"",B21&amp;"|"&amp;C21)</x:f>
      </x:c>
      <x:c r="B21" s="87"/>
      <x:c r="C21" s="87"/>
      <x:c r="D21" s="87"/>
      <x:c r="E21" s="87"/>
    </x:row>
    <x:row r="22" ht="21" customHeight="1">
      <x:c r="A22" s="84" t="str">
        <x:f>IF(OR(B22="",C22=""),"",B22&amp;"|"&amp;C22)</x:f>
      </x:c>
      <x:c r="B22" s="87"/>
      <x:c r="C22" s="87"/>
      <x:c r="D22" s="87"/>
      <x:c r="E22" s="87"/>
    </x:row>
    <x:row r="23" ht="21" customHeight="1">
      <x:c r="A23" s="84" t="str">
        <x:f>IF(OR(B23="",C23=""),"",B23&amp;"|"&amp;C23)</x:f>
      </x:c>
      <x:c r="B23" s="87"/>
      <x:c r="C23" s="87"/>
      <x:c r="D23" s="87"/>
      <x:c r="E23" s="87"/>
    </x:row>
    <x:row r="24" ht="21" customHeight="1">
      <x:c r="A24" s="84" t="str">
        <x:f>IF(OR(B24="",C24=""),"",B24&amp;"|"&amp;C24)</x:f>
      </x:c>
      <x:c r="B24" s="87"/>
      <x:c r="C24" s="87"/>
      <x:c r="D24" s="87"/>
      <x:c r="E24" s="87"/>
    </x:row>
    <x:row r="25" ht="21" customHeight="1">
      <x:c r="A25" s="84" t="str">
        <x:f>IF(OR(B25="",C25=""),"",B25&amp;"|"&amp;C25)</x:f>
      </x:c>
      <x:c r="B25" s="87"/>
      <x:c r="C25" s="87"/>
      <x:c r="D25" s="87"/>
      <x:c r="E25" s="87"/>
    </x:row>
    <x:row r="26" ht="21" customHeight="1">
      <x:c r="A26" s="84" t="str">
        <x:f>IF(OR(B26="",C26=""),"",B26&amp;"|"&amp;C26)</x:f>
      </x:c>
      <x:c r="B26" s="87"/>
      <x:c r="C26" s="87"/>
      <x:c r="D26" s="87"/>
      <x:c r="E26" s="87"/>
    </x:row>
    <x:row r="27" ht="21" customHeight="1">
      <x:c r="A27" s="84" t="str">
        <x:f>IF(OR(B27="",C27=""),"",B27&amp;"|"&amp;C27)</x:f>
      </x:c>
      <x:c r="B27" s="87"/>
      <x:c r="C27" s="87"/>
      <x:c r="D27" s="87"/>
      <x:c r="E27" s="87"/>
    </x:row>
    <x:row r="28" ht="21" customHeight="1">
      <x:c r="A28" s="84" t="str">
        <x:f>IF(OR(B28="",C28=""),"",B28&amp;"|"&amp;C28)</x:f>
      </x:c>
      <x:c r="B28" s="87"/>
      <x:c r="C28" s="87"/>
      <x:c r="D28" s="87"/>
      <x:c r="E28" s="87"/>
    </x:row>
    <x:row r="29" ht="21" customHeight="1">
      <x:c r="A29" s="84" t="str">
        <x:f>IF(OR(B29="",C29=""),"",B29&amp;"|"&amp;C29)</x:f>
      </x:c>
      <x:c r="B29" s="87"/>
      <x:c r="C29" s="87"/>
      <x:c r="D29" s="87"/>
      <x:c r="E29" s="87"/>
    </x:row>
  </x:sheetData>
  <x:mergeCells>
    <x:mergeCell ref="A1:E1"/>
    <x:mergeCell ref="A2:E2"/>
  </x:mergeCells>
  <x:dataValidations count="3">
    <x:dataValidation type="list" sqref="B5:B29">
      <x:formula1>'Steder'!$A$5:$A$29</x:formula1>
    </x:dataValidation>
    <x:dataValidation type="list" sqref="C5:C29">
      <x:formula1>'Dagbogssider'!$A$5:$A$29</x:formula1>
    </x:dataValidation>
    <x:dataValidation type="list" sqref="E5:E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92e80b9c54e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33.33000183105469" hidden="0" customWidth="1"/>
    <x:col min="3" max="3" width="24.440000534057617" hidden="0" customWidth="1"/>
    <x:col min="4" max="4" width="24.440000534057617" hidden="0" customWidth="1"/>
    <x:col min="5" max="5" width="20" hidden="0" customWidth="1"/>
    <x:col min="6" max="6" width="20" hidden="0" customWidth="1"/>
    <x:col min="7" max="7" width="20" hidden="0" customWidth="1"/>
    <x:col min="8" max="8" width="12.220000267028809" hidden="0" customWidth="1"/>
  </x:cols>
  <x:sheetData>
    <x:row r="1" ht="31" customHeight="1">
      <x:c r="A1" s="3" t="str">
        <x:v>Værkregister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Normaliserede værker og klassifikation. Felterne svarer til sitets værk-, kunstner-, museums-, genre- og formslicere.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76" t="str">
        <x:v>WorkID*</x:v>
      </x:c>
      <x:c r="B4" s="76" t="str">
        <x:v>WorkTitle*</x:v>
      </x:c>
      <x:c r="C4" s="76" t="str">
        <x:v>ArtistCreator</x:v>
      </x:c>
      <x:c r="D4" s="76" t="str">
        <x:v>MuseumCollection</x:v>
      </x:c>
      <x:c r="E4" s="76" t="str">
        <x:v>Genre</x:v>
      </x:c>
      <x:c r="F4" s="76" t="str">
        <x:v>Form</x:v>
      </x:c>
      <x:c r="G4" s="76" t="str">
        <x:v>SubForm</x:v>
      </x:c>
      <x:c r="H4" s="76" t="str">
        <x:v>SourceStatus*</x:v>
      </x:c>
    </x:row>
    <x:row r="5" ht="21" customHeight="1">
      <x:c r="A5" s="85" t="str">
        <x:v>WOR000001</x:v>
      </x:c>
      <x:c r="B5" s="85" t="str">
        <x:v>*»Din Vilje skee Alfader -«. </x:v>
      </x:c>
      <x:c r="C5" s="85"/>
      <x:c r="D5" s="85"/>
      <x:c r="E5" s="85" t="str">
        <x:v>H. C. ANDERSEN</x:v>
      </x:c>
      <x:c r="F5" s="85" t="str">
        <x:v>Digte</x:v>
      </x:c>
      <x:c r="G5" s="85"/>
      <x:c r="H5" s="85" t="str">
        <x:v>Ready</x:v>
      </x:c>
    </x:row>
    <x:row r="6" ht="21" customHeight="1">
      <x:c r="A6" s="87"/>
      <x:c r="B6" s="87"/>
      <x:c r="C6" s="87"/>
      <x:c r="D6" s="87"/>
      <x:c r="E6" s="87"/>
      <x:c r="F6" s="87"/>
      <x:c r="G6" s="87"/>
      <x:c r="H6" s="87"/>
    </x:row>
    <x:row r="7" ht="21" customHeight="1">
      <x:c r="A7" s="87"/>
      <x:c r="B7" s="87"/>
      <x:c r="C7" s="87"/>
      <x:c r="D7" s="87"/>
      <x:c r="E7" s="87"/>
      <x:c r="F7" s="87"/>
      <x:c r="G7" s="87"/>
      <x:c r="H7" s="87"/>
    </x:row>
    <x:row r="8" ht="21" customHeight="1">
      <x:c r="A8" s="87"/>
      <x:c r="B8" s="87"/>
      <x:c r="C8" s="87"/>
      <x:c r="D8" s="87"/>
      <x:c r="E8" s="87"/>
      <x:c r="F8" s="87"/>
      <x:c r="G8" s="87"/>
      <x:c r="H8" s="87"/>
    </x:row>
    <x:row r="9" ht="21" customHeight="1">
      <x:c r="A9" s="87"/>
      <x:c r="B9" s="87"/>
      <x:c r="C9" s="87"/>
      <x:c r="D9" s="87"/>
      <x:c r="E9" s="87"/>
      <x:c r="F9" s="87"/>
      <x:c r="G9" s="87"/>
      <x:c r="H9" s="87"/>
    </x:row>
    <x:row r="10" ht="21" customHeight="1">
      <x:c r="A10" s="87"/>
      <x:c r="B10" s="87"/>
      <x:c r="C10" s="87"/>
      <x:c r="D10" s="87"/>
      <x:c r="E10" s="87"/>
      <x:c r="F10" s="87"/>
      <x:c r="G10" s="87"/>
      <x:c r="H10" s="87"/>
    </x:row>
    <x:row r="11" ht="21" customHeight="1">
      <x:c r="A11" s="87"/>
      <x:c r="B11" s="87"/>
      <x:c r="C11" s="87"/>
      <x:c r="D11" s="87"/>
      <x:c r="E11" s="87"/>
      <x:c r="F11" s="87"/>
      <x:c r="G11" s="87"/>
      <x:c r="H11" s="87"/>
    </x:row>
    <x:row r="12" ht="21" customHeight="1">
      <x:c r="A12" s="87"/>
      <x:c r="B12" s="87"/>
      <x:c r="C12" s="87"/>
      <x:c r="D12" s="87"/>
      <x:c r="E12" s="87"/>
      <x:c r="F12" s="87"/>
      <x:c r="G12" s="87"/>
      <x:c r="H12" s="87"/>
    </x:row>
    <x:row r="13" ht="21" customHeight="1">
      <x:c r="A13" s="87"/>
      <x:c r="B13" s="87"/>
      <x:c r="C13" s="87"/>
      <x:c r="D13" s="87"/>
      <x:c r="E13" s="87"/>
      <x:c r="F13" s="87"/>
      <x:c r="G13" s="87"/>
      <x:c r="H13" s="87"/>
    </x:row>
    <x:row r="14" ht="21" customHeight="1">
      <x:c r="A14" s="87"/>
      <x:c r="B14" s="87"/>
      <x:c r="C14" s="87"/>
      <x:c r="D14" s="87"/>
      <x:c r="E14" s="87"/>
      <x:c r="F14" s="87"/>
      <x:c r="G14" s="87"/>
      <x:c r="H14" s="87"/>
    </x:row>
    <x:row r="15" ht="21" customHeight="1">
      <x:c r="A15" s="87"/>
      <x:c r="B15" s="87"/>
      <x:c r="C15" s="87"/>
      <x:c r="D15" s="87"/>
      <x:c r="E15" s="87"/>
      <x:c r="F15" s="87"/>
      <x:c r="G15" s="87"/>
      <x:c r="H15" s="87"/>
    </x:row>
    <x:row r="16" ht="21" customHeight="1">
      <x:c r="A16" s="87"/>
      <x:c r="B16" s="87"/>
      <x:c r="C16" s="87"/>
      <x:c r="D16" s="87"/>
      <x:c r="E16" s="87"/>
      <x:c r="F16" s="87"/>
      <x:c r="G16" s="87"/>
      <x:c r="H16" s="87"/>
    </x:row>
    <x:row r="17" ht="21" customHeight="1">
      <x:c r="A17" s="87"/>
      <x:c r="B17" s="87"/>
      <x:c r="C17" s="87"/>
      <x:c r="D17" s="87"/>
      <x:c r="E17" s="87"/>
      <x:c r="F17" s="87"/>
      <x:c r="G17" s="87"/>
      <x:c r="H17" s="87"/>
    </x:row>
    <x:row r="18" ht="21" customHeight="1">
      <x:c r="A18" s="87"/>
      <x:c r="B18" s="87"/>
      <x:c r="C18" s="87"/>
      <x:c r="D18" s="87"/>
      <x:c r="E18" s="87"/>
      <x:c r="F18" s="87"/>
      <x:c r="G18" s="87"/>
      <x:c r="H18" s="87"/>
    </x:row>
    <x:row r="19" ht="21" customHeight="1">
      <x:c r="A19" s="87"/>
      <x:c r="B19" s="87"/>
      <x:c r="C19" s="87"/>
      <x:c r="D19" s="87"/>
      <x:c r="E19" s="87"/>
      <x:c r="F19" s="87"/>
      <x:c r="G19" s="87"/>
      <x:c r="H19" s="87"/>
    </x:row>
    <x:row r="20" ht="21" customHeight="1">
      <x:c r="A20" s="87"/>
      <x:c r="B20" s="87"/>
      <x:c r="C20" s="87"/>
      <x:c r="D20" s="87"/>
      <x:c r="E20" s="87"/>
      <x:c r="F20" s="87"/>
      <x:c r="G20" s="87"/>
      <x:c r="H20" s="87"/>
    </x:row>
    <x:row r="21" ht="21" customHeight="1">
      <x:c r="A21" s="87"/>
      <x:c r="B21" s="87"/>
      <x:c r="C21" s="87"/>
      <x:c r="D21" s="87"/>
      <x:c r="E21" s="87"/>
      <x:c r="F21" s="87"/>
      <x:c r="G21" s="87"/>
      <x:c r="H21" s="87"/>
    </x:row>
    <x:row r="22" ht="21" customHeight="1">
      <x:c r="A22" s="87"/>
      <x:c r="B22" s="87"/>
      <x:c r="C22" s="87"/>
      <x:c r="D22" s="87"/>
      <x:c r="E22" s="87"/>
      <x:c r="F22" s="87"/>
      <x:c r="G22" s="87"/>
      <x:c r="H22" s="87"/>
    </x:row>
    <x:row r="23" ht="21" customHeight="1">
      <x:c r="A23" s="87"/>
      <x:c r="B23" s="87"/>
      <x:c r="C23" s="87"/>
      <x:c r="D23" s="87"/>
      <x:c r="E23" s="87"/>
      <x:c r="F23" s="87"/>
      <x:c r="G23" s="87"/>
      <x:c r="H23" s="87"/>
    </x:row>
    <x:row r="24" ht="21" customHeight="1">
      <x:c r="A24" s="87"/>
      <x:c r="B24" s="87"/>
      <x:c r="C24" s="87"/>
      <x:c r="D24" s="87"/>
      <x:c r="E24" s="87"/>
      <x:c r="F24" s="87"/>
      <x:c r="G24" s="87"/>
      <x:c r="H24" s="87"/>
    </x:row>
    <x:row r="25" ht="21" customHeight="1">
      <x:c r="A25" s="87"/>
      <x:c r="B25" s="87"/>
      <x:c r="C25" s="87"/>
      <x:c r="D25" s="87"/>
      <x:c r="E25" s="87"/>
      <x:c r="F25" s="87"/>
      <x:c r="G25" s="87"/>
      <x:c r="H25" s="87"/>
    </x:row>
    <x:row r="26" ht="21" customHeight="1">
      <x:c r="A26" s="87"/>
      <x:c r="B26" s="87"/>
      <x:c r="C26" s="87"/>
      <x:c r="D26" s="87"/>
      <x:c r="E26" s="87"/>
      <x:c r="F26" s="87"/>
      <x:c r="G26" s="87"/>
      <x:c r="H26" s="87"/>
    </x:row>
    <x:row r="27" ht="21" customHeight="1">
      <x:c r="A27" s="87"/>
      <x:c r="B27" s="87"/>
      <x:c r="C27" s="87"/>
      <x:c r="D27" s="87"/>
      <x:c r="E27" s="87"/>
      <x:c r="F27" s="87"/>
      <x:c r="G27" s="87"/>
      <x:c r="H27" s="87"/>
    </x:row>
    <x:row r="28" ht="21" customHeight="1">
      <x:c r="A28" s="87"/>
      <x:c r="B28" s="87"/>
      <x:c r="C28" s="87"/>
      <x:c r="D28" s="87"/>
      <x:c r="E28" s="87"/>
      <x:c r="F28" s="87"/>
      <x:c r="G28" s="87"/>
      <x:c r="H28" s="87"/>
    </x:row>
    <x:row r="29" ht="21" customHeight="1">
      <x:c r="A29" s="87"/>
      <x:c r="B29" s="87"/>
      <x:c r="C29" s="87"/>
      <x:c r="D29" s="87"/>
      <x:c r="E29" s="87"/>
      <x:c r="F29" s="87"/>
      <x:c r="G29" s="87"/>
      <x:c r="H29" s="87"/>
    </x:row>
  </x:sheetData>
  <x:mergeCells>
    <x:mergeCell ref="A1:H1"/>
    <x:mergeCell ref="A2:H2"/>
  </x:mergeCells>
  <x:dataValidations count="1">
    <x:dataValidation type="list" sqref="H5:H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f588b1b8af46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2.779999732971191" hidden="0" customWidth="1"/>
    <x:col min="3" max="3" width="11.670000076293945" hidden="0" customWidth="1"/>
    <x:col min="4" max="4" width="38.88999938964844" hidden="0" customWidth="1"/>
    <x:col min="5" max="5" width="12.779999732971191" hidden="0" customWidth="1"/>
  </x:cols>
  <x:sheetData>
    <x:row r="1" ht="31" customHeight="1">
      <x:c r="A1" s="3" t="str">
        <x:v>Bro: værk ↔ dagbogsside</x:v>
      </x:c>
      <x:c r="B1" s="3"/>
      <x:c r="C1" s="3"/>
      <x:c r="D1" s="3"/>
      <x:c r="E1" s="3"/>
    </x:row>
    <x:row r="2" ht="34" customHeight="1">
      <x:c r="A2" s="7" t="str">
        <x:v>Mange-til-mange-relation mellem normaliserede værker og dagbogssider.</x:v>
      </x:c>
      <x:c r="B2" s="7"/>
      <x:c r="C2" s="7"/>
      <x:c r="D2" s="7"/>
      <x:c r="E2" s="7"/>
    </x:row>
    <x:row r="4" ht="31" customHeight="1">
      <x:c r="A4" s="76" t="str">
        <x:v>WorkPageKey*</x:v>
      </x:c>
      <x:c r="B4" s="76" t="str">
        <x:v>WorkID*</x:v>
      </x:c>
      <x:c r="C4" s="76" t="str">
        <x:v>PageKey*</x:v>
      </x:c>
      <x:c r="D4" s="76" t="str">
        <x:v>SourceReference</x:v>
      </x:c>
      <x:c r="E4" s="76" t="str">
        <x:v>RelationStatus*</x:v>
      </x:c>
    </x:row>
    <x:row r="5" ht="21" customHeight="1">
      <x:c r="A5" s="84" t="str">
        <x:f>IF(OR(B5="",C5=""),"",B5&amp;"|"&amp;C5)</x:f>
        <x:v>WOR000001|I-1</x:v>
      </x:c>
      <x:c r="B5" s="85" t="str">
        <x:v>WOR000001</x:v>
      </x:c>
      <x:c r="C5" s="85" t="str">
        <x:v>I-1</x:v>
      </x:c>
      <x:c r="D5" s="85" t="str">
        <x:v>Værkregister, bind I side 1</x:v>
      </x:c>
      <x:c r="E5" s="85" t="str">
        <x:v>Ready</x:v>
      </x:c>
    </x:row>
    <x:row r="6" ht="21" customHeight="1">
      <x:c r="A6" s="84" t="str">
        <x:f>IF(OR(B6="",C6=""),"",B6&amp;"|"&amp;C6)</x:f>
      </x:c>
      <x:c r="B6" s="87"/>
      <x:c r="C6" s="87"/>
      <x:c r="D6" s="87"/>
      <x:c r="E6" s="87"/>
    </x:row>
    <x:row r="7" ht="21" customHeight="1">
      <x:c r="A7" s="84" t="str">
        <x:f>IF(OR(B7="",C7=""),"",B7&amp;"|"&amp;C7)</x:f>
      </x:c>
      <x:c r="B7" s="87"/>
      <x:c r="C7" s="87"/>
      <x:c r="D7" s="87"/>
      <x:c r="E7" s="87"/>
    </x:row>
    <x:row r="8" ht="21" customHeight="1">
      <x:c r="A8" s="84" t="str">
        <x:f>IF(OR(B8="",C8=""),"",B8&amp;"|"&amp;C8)</x:f>
      </x:c>
      <x:c r="B8" s="87"/>
      <x:c r="C8" s="87"/>
      <x:c r="D8" s="87"/>
      <x:c r="E8" s="87"/>
    </x:row>
    <x:row r="9" ht="21" customHeight="1">
      <x:c r="A9" s="84" t="str">
        <x:f>IF(OR(B9="",C9=""),"",B9&amp;"|"&amp;C9)</x:f>
      </x:c>
      <x:c r="B9" s="87"/>
      <x:c r="C9" s="87"/>
      <x:c r="D9" s="87"/>
      <x:c r="E9" s="87"/>
    </x:row>
    <x:row r="10" ht="21" customHeight="1">
      <x:c r="A10" s="84" t="str">
        <x:f>IF(OR(B10="",C10=""),"",B10&amp;"|"&amp;C10)</x:f>
      </x:c>
      <x:c r="B10" s="87"/>
      <x:c r="C10" s="87"/>
      <x:c r="D10" s="87"/>
      <x:c r="E10" s="87"/>
    </x:row>
    <x:row r="11" ht="21" customHeight="1">
      <x:c r="A11" s="84" t="str">
        <x:f>IF(OR(B11="",C11=""),"",B11&amp;"|"&amp;C11)</x:f>
      </x:c>
      <x:c r="B11" s="87"/>
      <x:c r="C11" s="87"/>
      <x:c r="D11" s="87"/>
      <x:c r="E11" s="87"/>
    </x:row>
    <x:row r="12" ht="21" customHeight="1">
      <x:c r="A12" s="84" t="str">
        <x:f>IF(OR(B12="",C12=""),"",B12&amp;"|"&amp;C12)</x:f>
      </x:c>
      <x:c r="B12" s="87"/>
      <x:c r="C12" s="87"/>
      <x:c r="D12" s="87"/>
      <x:c r="E12" s="87"/>
    </x:row>
    <x:row r="13" ht="21" customHeight="1">
      <x:c r="A13" s="84" t="str">
        <x:f>IF(OR(B13="",C13=""),"",B13&amp;"|"&amp;C13)</x:f>
      </x:c>
      <x:c r="B13" s="87"/>
      <x:c r="C13" s="87"/>
      <x:c r="D13" s="87"/>
      <x:c r="E13" s="87"/>
    </x:row>
    <x:row r="14" ht="21" customHeight="1">
      <x:c r="A14" s="84" t="str">
        <x:f>IF(OR(B14="",C14=""),"",B14&amp;"|"&amp;C14)</x:f>
      </x:c>
      <x:c r="B14" s="87"/>
      <x:c r="C14" s="87"/>
      <x:c r="D14" s="87"/>
      <x:c r="E14" s="87"/>
    </x:row>
    <x:row r="15" ht="21" customHeight="1">
      <x:c r="A15" s="84" t="str">
        <x:f>IF(OR(B15="",C15=""),"",B15&amp;"|"&amp;C15)</x:f>
      </x:c>
      <x:c r="B15" s="87"/>
      <x:c r="C15" s="87"/>
      <x:c r="D15" s="87"/>
      <x:c r="E15" s="87"/>
    </x:row>
    <x:row r="16" ht="21" customHeight="1">
      <x:c r="A16" s="84" t="str">
        <x:f>IF(OR(B16="",C16=""),"",B16&amp;"|"&amp;C16)</x:f>
      </x:c>
      <x:c r="B16" s="87"/>
      <x:c r="C16" s="87"/>
      <x:c r="D16" s="87"/>
      <x:c r="E16" s="87"/>
    </x:row>
    <x:row r="17" ht="21" customHeight="1">
      <x:c r="A17" s="84" t="str">
        <x:f>IF(OR(B17="",C17=""),"",B17&amp;"|"&amp;C17)</x:f>
      </x:c>
      <x:c r="B17" s="87"/>
      <x:c r="C17" s="87"/>
      <x:c r="D17" s="87"/>
      <x:c r="E17" s="87"/>
    </x:row>
    <x:row r="18" ht="21" customHeight="1">
      <x:c r="A18" s="84" t="str">
        <x:f>IF(OR(B18="",C18=""),"",B18&amp;"|"&amp;C18)</x:f>
      </x:c>
      <x:c r="B18" s="87"/>
      <x:c r="C18" s="87"/>
      <x:c r="D18" s="87"/>
      <x:c r="E18" s="87"/>
    </x:row>
    <x:row r="19" ht="21" customHeight="1">
      <x:c r="A19" s="84" t="str">
        <x:f>IF(OR(B19="",C19=""),"",B19&amp;"|"&amp;C19)</x:f>
      </x:c>
      <x:c r="B19" s="87"/>
      <x:c r="C19" s="87"/>
      <x:c r="D19" s="87"/>
      <x:c r="E19" s="87"/>
    </x:row>
    <x:row r="20" ht="21" customHeight="1">
      <x:c r="A20" s="84" t="str">
        <x:f>IF(OR(B20="",C20=""),"",B20&amp;"|"&amp;C20)</x:f>
      </x:c>
      <x:c r="B20" s="87"/>
      <x:c r="C20" s="87"/>
      <x:c r="D20" s="87"/>
      <x:c r="E20" s="87"/>
    </x:row>
    <x:row r="21" ht="21" customHeight="1">
      <x:c r="A21" s="84" t="str">
        <x:f>IF(OR(B21="",C21=""),"",B21&amp;"|"&amp;C21)</x:f>
      </x:c>
      <x:c r="B21" s="87"/>
      <x:c r="C21" s="87"/>
      <x:c r="D21" s="87"/>
      <x:c r="E21" s="87"/>
    </x:row>
    <x:row r="22" ht="21" customHeight="1">
      <x:c r="A22" s="84" t="str">
        <x:f>IF(OR(B22="",C22=""),"",B22&amp;"|"&amp;C22)</x:f>
      </x:c>
      <x:c r="B22" s="87"/>
      <x:c r="C22" s="87"/>
      <x:c r="D22" s="87"/>
      <x:c r="E22" s="87"/>
    </x:row>
    <x:row r="23" ht="21" customHeight="1">
      <x:c r="A23" s="84" t="str">
        <x:f>IF(OR(B23="",C23=""),"",B23&amp;"|"&amp;C23)</x:f>
      </x:c>
      <x:c r="B23" s="87"/>
      <x:c r="C23" s="87"/>
      <x:c r="D23" s="87"/>
      <x:c r="E23" s="87"/>
    </x:row>
    <x:row r="24" ht="21" customHeight="1">
      <x:c r="A24" s="84" t="str">
        <x:f>IF(OR(B24="",C24=""),"",B24&amp;"|"&amp;C24)</x:f>
      </x:c>
      <x:c r="B24" s="87"/>
      <x:c r="C24" s="87"/>
      <x:c r="D24" s="87"/>
      <x:c r="E24" s="87"/>
    </x:row>
    <x:row r="25" ht="21" customHeight="1">
      <x:c r="A25" s="84" t="str">
        <x:f>IF(OR(B25="",C25=""),"",B25&amp;"|"&amp;C25)</x:f>
      </x:c>
      <x:c r="B25" s="87"/>
      <x:c r="C25" s="87"/>
      <x:c r="D25" s="87"/>
      <x:c r="E25" s="87"/>
    </x:row>
    <x:row r="26" ht="21" customHeight="1">
      <x:c r="A26" s="84" t="str">
        <x:f>IF(OR(B26="",C26=""),"",B26&amp;"|"&amp;C26)</x:f>
      </x:c>
      <x:c r="B26" s="87"/>
      <x:c r="C26" s="87"/>
      <x:c r="D26" s="87"/>
      <x:c r="E26" s="87"/>
    </x:row>
    <x:row r="27" ht="21" customHeight="1">
      <x:c r="A27" s="84" t="str">
        <x:f>IF(OR(B27="",C27=""),"",B27&amp;"|"&amp;C27)</x:f>
      </x:c>
      <x:c r="B27" s="87"/>
      <x:c r="C27" s="87"/>
      <x:c r="D27" s="87"/>
      <x:c r="E27" s="87"/>
    </x:row>
    <x:row r="28" ht="21" customHeight="1">
      <x:c r="A28" s="84" t="str">
        <x:f>IF(OR(B28="",C28=""),"",B28&amp;"|"&amp;C28)</x:f>
      </x:c>
      <x:c r="B28" s="87"/>
      <x:c r="C28" s="87"/>
      <x:c r="D28" s="87"/>
      <x:c r="E28" s="87"/>
    </x:row>
    <x:row r="29" ht="21" customHeight="1">
      <x:c r="A29" s="84" t="str">
        <x:f>IF(OR(B29="",C29=""),"",B29&amp;"|"&amp;C29)</x:f>
      </x:c>
      <x:c r="B29" s="87"/>
      <x:c r="C29" s="87"/>
      <x:c r="D29" s="87"/>
      <x:c r="E29" s="87"/>
    </x:row>
  </x:sheetData>
  <x:mergeCells>
    <x:mergeCell ref="A1:E1"/>
    <x:mergeCell ref="A2:E2"/>
  </x:mergeCells>
  <x:dataValidations count="3">
    <x:dataValidation type="list" sqref="B5:B29">
      <x:formula1>'Værker'!$A$5:$A$29</x:formula1>
    </x:dataValidation>
    <x:dataValidation type="list" sqref="C5:C29">
      <x:formula1>'Dagbogssider'!$A$5:$A$29</x:formula1>
    </x:dataValidation>
    <x:dataValidation type="list" sqref="E5:E29">
      <x:formula1>"Ready,Needs review,Exclude"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79b69c814249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9.440000534057617" hidden="0" customWidth="1"/>
    <x:col min="3" max="3" width="21.110000610351562" hidden="0" customWidth="1"/>
    <x:col min="4" max="4" width="11.670000076293945" hidden="0" customWidth="1"/>
    <x:col min="5" max="5" width="10" hidden="0" customWidth="1"/>
    <x:col min="6" max="6" width="35.560001373291016" hidden="0" customWidth="1"/>
  </x:cols>
  <x:sheetData>
    <x:row r="1" ht="31" customHeight="1">
      <x:c r="A1" s="3" t="str">
        <x:v>Excel → kompakt JSON</x:v>
      </x:c>
      <x:c r="B1" s="3"/>
      <x:c r="C1" s="3"/>
      <x:c r="D1" s="3"/>
      <x:c r="E1" s="3"/>
      <x:c r="F1" s="3"/>
    </x:row>
    <x:row r="2" ht="34" customHeight="1">
      <x:c r="A2" s="7" t="str">
        <x:v>Feltmapping mellem Excel-skabelonen og hca-pivot-data.json, som sitet indlæser i browseren.</x:v>
      </x:c>
      <x:c r="B2" s="7"/>
      <x:c r="C2" s="7"/>
      <x:c r="D2" s="7"/>
      <x:c r="E2" s="7"/>
      <x:c r="F2" s="7"/>
    </x:row>
    <x:row r="4" ht="34" customHeight="1">
      <x:c r="A4" s="130" t="str">
        <x:v>Excel-fane</x:v>
      </x:c>
      <x:c r="B4" s="131" t="str">
        <x:v>Excel-felt</x:v>
      </x:c>
      <x:c r="C4" s="131" t="str">
        <x:v>JSON-sti</x:v>
      </x:c>
      <x:c r="D4" s="131" t="str">
        <x:v>Datatype</x:v>
      </x:c>
      <x:c r="E4" s="131" t="str">
        <x:v>Påkrævet</x:v>
      </x:c>
      <x:c r="F4" s="132" t="str">
        <x:v>Transformationsregel</x:v>
      </x:c>
    </x:row>
    <x:row r="5">
      <x:c r="A5" s="87" t="str">
        <x:v>Dagbogssider</x:v>
      </x:c>
      <x:c r="B5" s="87" t="str">
        <x:v>VolRef</x:v>
      </x:c>
      <x:c r="C5" s="87" t="str">
        <x:v>pages[].v</x:v>
      </x:c>
      <x:c r="D5" s="87" t="str">
        <x:v>Tekst</x:v>
      </x:c>
      <x:c r="E5" s="87" t="str">
        <x:v>Ja</x:v>
      </x:c>
      <x:c r="F5" s="87" t="str">
        <x:v>Romertal I–X</x:v>
      </x:c>
    </x:row>
    <x:row r="6">
      <x:c r="A6" s="87" t="str">
        <x:v>Dagbogssider</x:v>
      </x:c>
      <x:c r="B6" s="87" t="str">
        <x:v>PageRef</x:v>
      </x:c>
      <x:c r="C6" s="87" t="str">
        <x:v>pages[].n</x:v>
      </x:c>
      <x:c r="D6" s="87" t="str">
        <x:v>Heltal</x:v>
      </x:c>
      <x:c r="E6" s="87" t="str">
        <x:v>Ja</x:v>
      </x:c>
      <x:c r="F6" s="87" t="str">
        <x:v>Trykt sidenummer</x:v>
      </x:c>
    </x:row>
    <x:row r="7">
      <x:c r="A7" s="87" t="str">
        <x:v>Dagbogssider</x:v>
      </x:c>
      <x:c r="B7" s="87" t="str">
        <x:v>DiaryYearLabel</x:v>
      </x:c>
      <x:c r="C7" s="87" t="str">
        <x:v>pages[].y</x:v>
      </x:c>
      <x:c r="D7" s="87" t="str">
        <x:v>Tekst</x:v>
      </x:c>
      <x:c r="E7" s="87" t="str">
        <x:v>Nej</x:v>
      </x:c>
      <x:c r="F7" s="87" t="str">
        <x:v>Fx 1862-XX</x:v>
      </x:c>
    </x:row>
    <x:row r="8">
      <x:c r="A8" s="87" t="str">
        <x:v>Dagbogssider</x:v>
      </x:c>
      <x:c r="B8" s="87" t="str">
        <x:v>KBUrl</x:v>
      </x:c>
      <x:c r="C8" s="87" t="str">
        <x:v>pages[].u</x:v>
      </x:c>
      <x:c r="D8" s="87" t="str">
        <x:v>URL</x:v>
      </x:c>
      <x:c r="E8" s="87" t="str">
        <x:v>Ja</x:v>
      </x:c>
      <x:c r="F8" s="87" t="str">
        <x:v>Original KB-XHTML</x:v>
      </x:c>
    </x:row>
    <x:row r="9">
      <x:c r="A9" s="87" t="str">
        <x:v>Dagbogssider</x:v>
      </x:c>
      <x:c r="B9" s="87" t="str">
        <x:v>RegisterSummary</x:v>
      </x:c>
      <x:c r="C9" s="87" t="str">
        <x:v>pages[].r</x:v>
      </x:c>
      <x:c r="D9" s="87" t="str">
        <x:v>Tekst</x:v>
      </x:c>
      <x:c r="E9" s="87" t="str">
        <x:v>Nej</x:v>
      </x:c>
      <x:c r="F9" s="87" t="str">
        <x:v>Kort registerbaseret tekst</x:v>
      </x:c>
    </x:row>
    <x:row r="10">
      <x:c r="A10" s="87" t="str">
        <x:v>Kalender</x:v>
      </x:c>
      <x:c r="B10" s="87" t="str">
        <x:v>CalendarKey</x:v>
      </x:c>
      <x:c r="C10" s="87" t="str">
        <x:v>calendarDates[][0]</x:v>
      </x:c>
      <x:c r="D10" s="87" t="str">
        <x:v>ISO-dato (tekst)</x:v>
      </x:c>
      <x:c r="E10" s="87" t="str">
        <x:v>Ja</x:v>
      </x:c>
      <x:c r="F10" s="87" t="str">
        <x:v>Entydig datonøgle</x:v>
      </x:c>
    </x:row>
    <x:row r="11">
      <x:c r="A11" s="87" t="str">
        <x:v>Kalender</x:v>
      </x:c>
      <x:c r="B11" s="87" t="str">
        <x:v>DiaryDateISO</x:v>
      </x:c>
      <x:c r="C11" s="87" t="str">
        <x:v>calendarDates[][0]</x:v>
      </x:c>
      <x:c r="D11" s="87" t="str">
        <x:v>ISO-dato (tekst)</x:v>
      </x:c>
      <x:c r="E11" s="87" t="str">
        <x:v>Ja</x:v>
      </x:c>
      <x:c r="F11" s="87" t="str">
        <x:v>Dato før 1900 bevares som tekst</x:v>
      </x:c>
    </x:row>
    <x:row r="12">
      <x:c r="A12" s="87" t="str">
        <x:v>Kalender</x:v>
      </x:c>
      <x:c r="B12" s="87" t="str">
        <x:v>DiaryYear</x:v>
      </x:c>
      <x:c r="C12" s="87" t="str">
        <x:v>calendarDates[][1]</x:v>
      </x:c>
      <x:c r="D12" s="87" t="str">
        <x:v>År</x:v>
      </x:c>
      <x:c r="E12" s="87" t="str">
        <x:v>Ja</x:v>
      </x:c>
      <x:c r="F12" s="87" t="str">
        <x:v>Afledes af dato</x:v>
      </x:c>
    </x:row>
    <x:row r="13">
      <x:c r="A13" s="87" t="str">
        <x:v>Kalender</x:v>
      </x:c>
      <x:c r="B13" s="87" t="str">
        <x:v>DiaryMonth</x:v>
      </x:c>
      <x:c r="C13" s="87" t="str">
        <x:v>calendarDates[][2]</x:v>
      </x:c>
      <x:c r="D13" s="87" t="str">
        <x:v>Måned</x:v>
      </x:c>
      <x:c r="E13" s="87" t="str">
        <x:v>Ja</x:v>
      </x:c>
      <x:c r="F13" s="87" t="str">
        <x:v>Afledes af dato</x:v>
      </x:c>
    </x:row>
    <x:row r="14">
      <x:c r="A14" s="87" t="str">
        <x:v>Kalender</x:v>
      </x:c>
      <x:c r="B14" s="87" t="str">
        <x:v>DiaryDay</x:v>
      </x:c>
      <x:c r="C14" s="87" t="str">
        <x:v>calendarDates[][3]</x:v>
      </x:c>
      <x:c r="D14" s="87" t="str">
        <x:v>Dag</x:v>
      </x:c>
      <x:c r="E14" s="87" t="str">
        <x:v>Ja</x:v>
      </x:c>
      <x:c r="F14" s="87" t="str">
        <x:v>Afledes af dato</x:v>
      </x:c>
    </x:row>
    <x:row r="15">
      <x:c r="A15" s="87" t="str">
        <x:v>Kalender</x:v>
      </x:c>
      <x:c r="B15" s="87" t="str">
        <x:v>Weekday</x:v>
      </x:c>
      <x:c r="C15" s="87" t="str">
        <x:v>calendarDates[][4]</x:v>
      </x:c>
      <x:c r="D15" s="87" t="str">
        <x:v>Tekst</x:v>
      </x:c>
      <x:c r="E15" s="87" t="str">
        <x:v>Ja</x:v>
      </x:c>
      <x:c r="F15" s="87" t="str">
        <x:v>Dansk ugedag</x:v>
      </x:c>
    </x:row>
    <x:row r="16">
      <x:c r="A16" s="87" t="str">
        <x:v>KalenderSide</x:v>
      </x:c>
      <x:c r="B16" s="87" t="str">
        <x:v>PageKey</x:v>
      </x:c>
      <x:c r="C16" s="87" t="str">
        <x:v>pageCalendarLinks[][0]</x:v>
      </x:c>
      <x:c r="D16" s="87" t="str">
        <x:v>Sideindeks</x:v>
      </x:c>
      <x:c r="E16" s="87" t="str">
        <x:v>Ja</x:v>
      </x:c>
      <x:c r="F16" s="87" t="str">
        <x:v>PageKey transformeres til sideindeks</x:v>
      </x:c>
    </x:row>
    <x:row r="17">
      <x:c r="A17" s="87" t="str">
        <x:v>KalenderSide</x:v>
      </x:c>
      <x:c r="B17" s="87" t="str">
        <x:v>CalendarKey</x:v>
      </x:c>
      <x:c r="C17" s="87" t="str">
        <x:v>pageCalendarLinks[][1]</x:v>
      </x:c>
      <x:c r="D17" s="87" t="str">
        <x:v>ISO-dato (tekst)</x:v>
      </x:c>
      <x:c r="E17" s="87" t="str">
        <x:v>Ja</x:v>
      </x:c>
      <x:c r="F17" s="87" t="str">
        <x:v>Mange-til-mange-kobling</x:v>
      </x:c>
    </x:row>
    <x:row r="18">
      <x:c r="A18" s="87" t="str">
        <x:v>Personer</x:v>
      </x:c>
      <x:c r="B18" s="87" t="str">
        <x:v>PersonID</x:v>
      </x:c>
      <x:c r="C18" s="87" t="str">
        <x:v>people[].id</x:v>
      </x:c>
      <x:c r="D18" s="87" t="str">
        <x:v>Heltal</x:v>
      </x:c>
      <x:c r="E18" s="87" t="str">
        <x:v>Ja</x:v>
      </x:c>
      <x:c r="F18" s="87" t="str">
        <x:v>Stabil identifikator</x:v>
      </x:c>
    </x:row>
    <x:row r="19">
      <x:c r="A19" s="87" t="str">
        <x:v>Personer</x:v>
      </x:c>
      <x:c r="B19" s="87" t="str">
        <x:v>PersonTitle</x:v>
      </x:c>
      <x:c r="C19" s="87" t="str">
        <x:v>people[].t</x:v>
      </x:c>
      <x:c r="D19" s="87" t="str">
        <x:v>Tekst</x:v>
      </x:c>
      <x:c r="E19" s="87" t="str">
        <x:v>Ja</x:v>
      </x:c>
      <x:c r="F19" s="87" t="str">
        <x:v>Registertitel</x:v>
      </x:c>
    </x:row>
    <x:row r="20">
      <x:c r="A20" s="87" t="str">
        <x:v>Personer</x:v>
      </x:c>
      <x:c r="B20" s="87" t="str">
        <x:v>PersonDescription</x:v>
      </x:c>
      <x:c r="C20" s="87" t="str">
        <x:v>people[].d</x:v>
      </x:c>
      <x:c r="D20" s="87" t="str">
        <x:v>Tekst</x:v>
      </x:c>
      <x:c r="E20" s="87" t="str">
        <x:v>Nej</x:v>
      </x:c>
      <x:c r="F20" s="87" t="str">
        <x:v>Registerbeskrivelse</x:v>
      </x:c>
    </x:row>
    <x:row r="21">
      <x:c r="A21" s="87" t="str">
        <x:v>Personer</x:v>
      </x:c>
      <x:c r="B21" s="87" t="str">
        <x:v>BirthYear</x:v>
      </x:c>
      <x:c r="C21" s="87" t="str">
        <x:v>people[].b</x:v>
      </x:c>
      <x:c r="D21" s="87" t="str">
        <x:v>Heltal</x:v>
      </x:c>
      <x:c r="E21" s="87" t="str">
        <x:v>Nej</x:v>
      </x:c>
      <x:c r="F21" s="87" t="str">
        <x:v>Fødselsår</x:v>
      </x:c>
    </x:row>
    <x:row r="22">
      <x:c r="A22" s="87" t="str">
        <x:v>Personer</x:v>
      </x:c>
      <x:c r="B22" s="87" t="str">
        <x:v>DeathYear</x:v>
      </x:c>
      <x:c r="C22" s="87" t="str">
        <x:v>people[].x</x:v>
      </x:c>
      <x:c r="D22" s="87" t="str">
        <x:v>Heltal</x:v>
      </x:c>
      <x:c r="E22" s="87" t="str">
        <x:v>Nej</x:v>
      </x:c>
      <x:c r="F22" s="87" t="str">
        <x:v>Dødsår</x:v>
      </x:c>
    </x:row>
    <x:row r="23">
      <x:c r="A23" s="87" t="str">
        <x:v>Personer</x:v>
      </x:c>
      <x:c r="B23" s="87" t="str">
        <x:v>Age</x:v>
      </x:c>
      <x:c r="C23" s="87" t="str">
        <x:v>people[].a</x:v>
      </x:c>
      <x:c r="D23" s="87" t="str">
        <x:v>Heltal</x:v>
      </x:c>
      <x:c r="E23" s="87" t="str">
        <x:v>Nej</x:v>
      </x:c>
      <x:c r="F23" s="87" t="str">
        <x:v>Dødsår minus fødselsår</x:v>
      </x:c>
    </x:row>
    <x:row r="24">
      <x:c r="A24" s="87" t="str">
        <x:v>Personer</x:v>
      </x:c>
      <x:c r="B24" s="87" t="str">
        <x:v>See</x:v>
      </x:c>
      <x:c r="C24" s="87" t="str">
        <x:v>people[].s</x:v>
      </x:c>
      <x:c r="D24" s="87" t="str">
        <x:v>Tekst</x:v>
      </x:c>
      <x:c r="E24" s="87" t="str">
        <x:v>Nej</x:v>
      </x:c>
      <x:c r="F24" s="87" t="str">
        <x:v>Se-reference</x:v>
      </x:c>
    </x:row>
    <x:row r="25">
      <x:c r="A25" s="87" t="str">
        <x:v>Personer</x:v>
      </x:c>
      <x:c r="B25" s="87" t="str">
        <x:v>SeeAlso</x:v>
      </x:c>
      <x:c r="C25" s="87" t="str">
        <x:v>people[].sa</x:v>
      </x:c>
      <x:c r="D25" s="87" t="str">
        <x:v>Tekst</x:v>
      </x:c>
      <x:c r="E25" s="87" t="str">
        <x:v>Nej</x:v>
      </x:c>
      <x:c r="F25" s="87" t="str">
        <x:v>Se også-reference</x:v>
      </x:c>
    </x:row>
    <x:row r="26">
      <x:c r="A26" s="87" t="str">
        <x:v>PersonSide</x:v>
      </x:c>
      <x:c r="B26" s="87" t="str">
        <x:v>PageKey</x:v>
      </x:c>
      <x:c r="C26" s="87" t="str">
        <x:v>people[].p[]</x:v>
      </x:c>
      <x:c r="D26" s="87" t="str">
        <x:v>Sideindeks</x:v>
      </x:c>
      <x:c r="E26" s="87" t="str">
        <x:v>Ja</x:v>
      </x:c>
      <x:c r="F26" s="87" t="str">
        <x:v>Transformeres fra PageKey til indeks</x:v>
      </x:c>
    </x:row>
    <x:row r="27">
      <x:c r="A27" s="87" t="str">
        <x:v>Steder</x:v>
      </x:c>
      <x:c r="B27" s="87" t="str">
        <x:v>LocationTitle</x:v>
      </x:c>
      <x:c r="C27" s="87" t="str">
        <x:v>pages[].l[][0]</x:v>
      </x:c>
      <x:c r="D27" s="87" t="str">
        <x:v>Tekst</x:v>
      </x:c>
      <x:c r="E27" s="87" t="str">
        <x:v>Ja</x:v>
      </x:c>
      <x:c r="F27" s="87" t="str">
        <x:v>Stednavn</x:v>
      </x:c>
    </x:row>
    <x:row r="28">
      <x:c r="A28" s="87" t="str">
        <x:v>Steder</x:v>
      </x:c>
      <x:c r="B28" s="87" t="str">
        <x:v>CountryArea</x:v>
      </x:c>
      <x:c r="C28" s="87" t="str">
        <x:v>pages[].l[][1]</x:v>
      </x:c>
      <x:c r="D28" s="87" t="str">
        <x:v>Tekst</x:v>
      </x:c>
      <x:c r="E28" s="87" t="str">
        <x:v>Nej</x:v>
      </x:c>
      <x:c r="F28" s="87" t="str">
        <x:v>Land eller område</x:v>
      </x:c>
    </x:row>
    <x:row r="29">
      <x:c r="A29" s="87" t="str">
        <x:v>Steder</x:v>
      </x:c>
      <x:c r="B29" s="87" t="str">
        <x:v>PlaceType</x:v>
      </x:c>
      <x:c r="C29" s="87" t="str">
        <x:v>pages[].l[][2]</x:v>
      </x:c>
      <x:c r="D29" s="87" t="str">
        <x:v>Tekst</x:v>
      </x:c>
      <x:c r="E29" s="87" t="str">
        <x:v>Nej</x:v>
      </x:c>
      <x:c r="F29" s="87" t="str">
        <x:v>Stedtype</x:v>
      </x:c>
    </x:row>
    <x:row r="30">
      <x:c r="A30" t="str">
        <x:v>Værker</x:v>
      </x:c>
      <x:c r="B30" t="str">
        <x:v>WorkTitle</x:v>
      </x:c>
      <x:c r="C30" t="str">
        <x:v>pages[].w[][0]</x:v>
      </x:c>
      <x:c r="D30" t="str">
        <x:v>Tekst</x:v>
      </x:c>
      <x:c r="E30" t="str">
        <x:v>Ja</x:v>
      </x:c>
      <x:c r="F30" t="str">
        <x:v>Værktitel</x:v>
      </x:c>
    </x:row>
    <x:row r="31">
      <x:c r="A31" t="str">
        <x:v>Værker</x:v>
      </x:c>
      <x:c r="B31" t="str">
        <x:v>ArtistCreator</x:v>
      </x:c>
      <x:c r="C31" t="str">
        <x:v>pages[].w[][1]</x:v>
      </x:c>
      <x:c r="D31" t="str">
        <x:v>Tekst</x:v>
      </x:c>
      <x:c r="E31" t="str">
        <x:v>Nej</x:v>
      </x:c>
      <x:c r="F31" t="str">
        <x:v>Kunstner/ophav</x:v>
      </x:c>
    </x:row>
    <x:row r="32">
      <x:c r="A32" t="str">
        <x:v>Værker</x:v>
      </x:c>
      <x:c r="B32" t="str">
        <x:v>MuseumCollection</x:v>
      </x:c>
      <x:c r="C32" t="str">
        <x:v>pages[].w[][2]</x:v>
      </x:c>
      <x:c r="D32" t="str">
        <x:v>Tekst</x:v>
      </x:c>
      <x:c r="E32" t="str">
        <x:v>Nej</x:v>
      </x:c>
      <x:c r="F32" t="str">
        <x:v>Museum/samling</x:v>
      </x:c>
    </x:row>
    <x:row r="33">
      <x:c r="A33" t="str">
        <x:v>Værker</x:v>
      </x:c>
      <x:c r="B33" t="str">
        <x:v>Genre</x:v>
      </x:c>
      <x:c r="C33" t="str">
        <x:v>pages[].w[][3]</x:v>
      </x:c>
      <x:c r="D33" t="str">
        <x:v>Tekst</x:v>
      </x:c>
      <x:c r="E33" t="str">
        <x:v>Nej</x:v>
      </x:c>
      <x:c r="F33" t="str">
        <x:v>Genreslicer</x:v>
      </x:c>
    </x:row>
    <x:row r="34">
      <x:c r="A34" t="str">
        <x:v>Værker</x:v>
      </x:c>
      <x:c r="B34" t="str">
        <x:v>Form</x:v>
      </x:c>
      <x:c r="C34" t="str">
        <x:v>pages[].w[][4]</x:v>
      </x:c>
      <x:c r="D34" t="str">
        <x:v>Tekst</x:v>
      </x:c>
      <x:c r="E34" t="str">
        <x:v>Nej</x:v>
      </x:c>
      <x:c r="F34" t="str">
        <x:v>Formslicer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85e289c1970449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4.4399995803833" hidden="0" customWidth="1"/>
    <x:col min="3" max="3" width="17.219999313354492" hidden="0" customWidth="1"/>
    <x:col min="4" max="4" width="15" hidden="0" customWidth="1"/>
    <x:col min="5" max="5" width="15" hidden="0" customWidth="1"/>
  </x:cols>
  <x:sheetData>
    <x:row r="1" ht="31" customHeight="1">
      <x:c r="A1" s="3" t="str">
        <x:v>Kontrollister</x:v>
      </x:c>
      <x:c r="B1" s="3"/>
      <x:c r="C1" s="3"/>
      <x:c r="D1" s="3"/>
      <x:c r="E1" s="3"/>
    </x:row>
    <x:row r="2" ht="34" customHeight="1">
      <x:c r="A2" s="7" t="str">
        <x:v>Tilladte værdier til validering og Power Query-kontrol. Udvid listerne, hvis datagrundlaget får nye klassifikationer.</x:v>
      </x:c>
      <x:c r="B2" s="7"/>
      <x:c r="C2" s="7"/>
      <x:c r="D2" s="7"/>
      <x:c r="E2" s="7"/>
    </x:row>
    <x:row r="4">
      <x:c r="A4" s="16" t="str">
        <x:v>VolRef</x:v>
      </x:c>
      <x:c r="B4" s="16" t="str">
        <x:v>Weekday</x:v>
      </x:c>
      <x:c r="C4" s="16" t="str">
        <x:v>PlaceType</x:v>
      </x:c>
      <x:c r="D4" s="16" t="str">
        <x:v>SourceStatus</x:v>
      </x:c>
      <x:c r="E4" s="16" t="str">
        <x:v>DateStatus</x:v>
      </x:c>
    </x:row>
    <x:row r="5">
      <x:c r="A5" s="101" t="str">
        <x:v>I</x:v>
      </x:c>
      <x:c r="B5" s="102" t="str">
        <x:v>Mandag</x:v>
      </x:c>
      <x:c r="C5" s="102" t="str">
        <x:v>City/Town</x:v>
      </x:c>
      <x:c r="D5" s="102" t="str">
        <x:v>Ready</x:v>
      </x:c>
      <x:c r="E5" s="103" t="str">
        <x:v>Exact</x:v>
      </x:c>
    </x:row>
    <x:row r="6">
      <x:c r="A6" s="104" t="str">
        <x:v>II</x:v>
      </x:c>
      <x:c r="B6" s="105" t="str">
        <x:v>Tirsdag</x:v>
      </x:c>
      <x:c r="C6" s="105" t="str">
        <x:v>Country</x:v>
      </x:c>
      <x:c r="D6" s="105" t="str">
        <x:v>Needs review</x:v>
      </x:c>
      <x:c r="E6" s="106" t="str">
        <x:v>Approximate</x:v>
      </x:c>
    </x:row>
    <x:row r="7">
      <x:c r="A7" s="104" t="str">
        <x:v>III</x:v>
      </x:c>
      <x:c r="B7" s="105" t="str">
        <x:v>Onsdag</x:v>
      </x:c>
      <x:c r="C7" s="105" t="str">
        <x:v>Continent</x:v>
      </x:c>
      <x:c r="D7" s="105" t="str">
        <x:v>Exclude</x:v>
      </x:c>
      <x:c r="E7" s="106" t="str">
        <x:v>Inferred</x:v>
      </x:c>
    </x:row>
    <x:row r="8">
      <x:c r="A8" s="104" t="str">
        <x:v>IV</x:v>
      </x:c>
      <x:c r="B8" s="105" t="str">
        <x:v>Torsdag</x:v>
      </x:c>
      <x:c r="C8" s="105" t="str">
        <x:v>Region</x:v>
      </x:c>
      <x:c r="D8" s="105"/>
      <x:c r="E8" s="106" t="str">
        <x:v>Unknown</x:v>
      </x:c>
    </x:row>
    <x:row r="9">
      <x:c r="A9" s="104" t="str">
        <x:v>V</x:v>
      </x:c>
      <x:c r="B9" s="105" t="str">
        <x:v>Fredag</x:v>
      </x:c>
      <x:c r="C9" s="105" t="str">
        <x:v>Historic Site</x:v>
      </x:c>
      <x:c r="D9" s="105"/>
      <x:c r="E9" s="106"/>
    </x:row>
    <x:row r="10">
      <x:c r="A10" s="104" t="str">
        <x:v>VI</x:v>
      </x:c>
      <x:c r="B10" s="105" t="str">
        <x:v>Lørdag</x:v>
      </x:c>
      <x:c r="C10" s="105" t="str">
        <x:v>Building</x:v>
      </x:c>
      <x:c r="D10" s="105"/>
      <x:c r="E10" s="106"/>
    </x:row>
    <x:row r="11">
      <x:c r="A11" s="104" t="str">
        <x:v>VII</x:v>
      </x:c>
      <x:c r="B11" s="105" t="str">
        <x:v>Søndag</x:v>
      </x:c>
      <x:c r="C11" s="105" t="str">
        <x:v>Landscape</x:v>
      </x:c>
      <x:c r="D11" s="105"/>
      <x:c r="E11" s="106"/>
    </x:row>
    <x:row r="12">
      <x:c r="A12" s="104" t="str">
        <x:v>VIII</x:v>
      </x:c>
      <x:c r="B12" s="105"/>
      <x:c r="C12" s="105" t="str">
        <x:v>Unknown</x:v>
      </x:c>
      <x:c r="D12" s="105"/>
      <x:c r="E12" s="106"/>
    </x:row>
    <x:row r="13">
      <x:c r="A13" s="104" t="str">
        <x:v>IX</x:v>
      </x:c>
      <x:c r="B13" s="105"/>
      <x:c r="C13" s="105"/>
      <x:c r="D13" s="105"/>
      <x:c r="E13" s="106"/>
    </x:row>
    <x:row r="14">
      <x:c r="A14" s="107" t="str">
        <x:v>X</x:v>
      </x:c>
      <x:c r="B14" s="108"/>
      <x:c r="C14" s="108"/>
      <x:c r="D14" s="108"/>
      <x:c r="E14" s="109"/>
    </x:row>
  </x:sheetData>
  <x:mergeCells>
    <x:mergeCell ref="A1:E1"/>
    <x:mergeCell ref="A2:E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18" hidden="0" customWidth="1"/>
  </x:cols>
  <x:sheetData>
    <x:row r="1" ht="44" customHeight="1">
      <x:c r="A1" s="111" t="str">
        <x:v>Dagbogsside–Kalender</x:v>
      </x:c>
      <x:c r="B1" s="111" t="str">
        <x:v>Dagbogsside–Kalender</x:v>
      </x:c>
      <x:c r="C1" s="111" t="str">
        <x:v>Dagbogsside–Kalender</x:v>
      </x:c>
      <x:c r="D1" s="111" t="str">
        <x:v>Dagbogsside–Kalender</x:v>
      </x:c>
      <x:c r="E1" s="111" t="str">
        <x:v>Dagbogsside–Kalender</x:v>
      </x:c>
    </x:row>
    <x:row r="2" ht="38" customHeight="1">
      <x:c r="A2" s="121" t="str">
        <x:v>Mange-til-mange-bro: én dagbogsside kan have flere datoer, og én kalenderdato kan være knyttet til flere dagbogssider.</x:v>
      </x:c>
      <x:c r="B2" s="121" t="str">
        <x:v>Mange-til-mange-bro: én dagbogsside kan have flere datoer, og én kalenderdato kan være knyttet til flere dagbogssider.</x:v>
      </x:c>
      <x:c r="C2" s="121" t="str">
        <x:v>Mange-til-mange-bro: én dagbogsside kan have flere datoer, og én kalenderdato kan være knyttet til flere dagbogssider.</x:v>
      </x:c>
      <x:c r="D2" s="121" t="str">
        <x:v>Mange-til-mange-bro: én dagbogsside kan have flere datoer, og én kalenderdato kan være knyttet til flere dagbogssider.</x:v>
      </x:c>
      <x:c r="E2" s="121" t="str">
        <x:v>Mange-til-mange-bro: én dagbogsside kan have flere datoer, og én kalenderdato kan være knyttet til flere dagbogssider.</x:v>
      </x:c>
    </x:row>
    <x:row r="4" ht="34" customHeight="1">
      <x:c r="A4" s="130" t="str">
        <x:v>CalendarPageKey*</x:v>
      </x:c>
      <x:c r="B4" s="131" t="str">
        <x:v>CalendarKey*</x:v>
      </x:c>
      <x:c r="C4" s="131" t="str">
        <x:v>PageKey*</x:v>
      </x:c>
      <x:c r="D4" s="131" t="str">
        <x:v>SourceReference</x:v>
      </x:c>
      <x:c r="E4" s="132" t="str">
        <x:v>RelationStatus*</x:v>
      </x:c>
    </x:row>
    <x:row r="5">
      <x:c r="A5" t="str">
        <x:f>IF(OR(B5="",C5=""),"",C5&amp;"|"&amp;B5)</x:f>
        <x:v>V-261|1862-10-15</x:v>
      </x:c>
      <x:c r="B5" t="str">
        <x:v>1862-10-15</x:v>
      </x:c>
      <x:c r="C5" t="str">
        <x:v>V-261</x:v>
      </x:c>
      <x:c r="D5" t="str">
        <x:v>Skabeloneksempel: 1862-10-15; V-261</x:v>
      </x:c>
      <x:c r="E5" t="str">
        <x:v>Ready</x:v>
      </x:c>
    </x:row>
    <x:row r="6">
      <x:c r="A6" t="str">
        <x:f>IF(OR(B6="",C6=""),"",C6&amp;"|"&amp;B6)</x:f>
      </x:c>
      <x:c r="B6"/>
      <x:c r="C6"/>
      <x:c r="D6"/>
      <x:c r="E6"/>
    </x:row>
    <x:row r="7">
      <x:c r="A7" t="str">
        <x:f>IF(OR(B7="",C7=""),"",C7&amp;"|"&amp;B7)</x:f>
      </x:c>
      <x:c r="B7"/>
      <x:c r="C7"/>
      <x:c r="D7"/>
      <x:c r="E7"/>
    </x:row>
    <x:row r="8">
      <x:c r="A8" t="str">
        <x:f>IF(OR(B8="",C8=""),"",C8&amp;"|"&amp;B8)</x:f>
      </x:c>
      <x:c r="B8"/>
      <x:c r="C8"/>
      <x:c r="D8"/>
      <x:c r="E8"/>
    </x:row>
    <x:row r="9">
      <x:c r="A9" t="str">
        <x:f>IF(OR(B9="",C9=""),"",C9&amp;"|"&amp;B9)</x:f>
      </x:c>
      <x:c r="B9"/>
      <x:c r="C9"/>
      <x:c r="D9"/>
      <x:c r="E9"/>
    </x:row>
    <x:row r="10">
      <x:c r="A10" t="str">
        <x:f>IF(OR(B10="",C10=""),"",C10&amp;"|"&amp;B10)</x:f>
      </x:c>
      <x:c r="B10"/>
      <x:c r="C10"/>
      <x:c r="D10"/>
      <x:c r="E10"/>
    </x:row>
    <x:row r="11">
      <x:c r="A11" t="str">
        <x:f>IF(OR(B11="",C11=""),"",C11&amp;"|"&amp;B11)</x:f>
      </x:c>
      <x:c r="B11"/>
      <x:c r="C11"/>
      <x:c r="D11"/>
      <x:c r="E11"/>
    </x:row>
    <x:row r="12">
      <x:c r="A12" t="str">
        <x:f>IF(OR(B12="",C12=""),"",C12&amp;"|"&amp;B12)</x:f>
      </x:c>
      <x:c r="B12"/>
      <x:c r="C12"/>
      <x:c r="D12"/>
      <x:c r="E12"/>
    </x:row>
    <x:row r="13">
      <x:c r="A13" t="str">
        <x:f>IF(OR(B13="",C13=""),"",C13&amp;"|"&amp;B13)</x:f>
      </x:c>
      <x:c r="B13"/>
      <x:c r="C13"/>
      <x:c r="D13"/>
      <x:c r="E13"/>
    </x:row>
    <x:row r="14">
      <x:c r="A14" t="str">
        <x:f>IF(OR(B14="",C14=""),"",C14&amp;"|"&amp;B14)</x:f>
      </x:c>
      <x:c r="B14"/>
      <x:c r="C14"/>
      <x:c r="D14"/>
      <x:c r="E14"/>
    </x:row>
    <x:row r="15">
      <x:c r="A15" t="str">
        <x:f>IF(OR(B15="",C15=""),"",C15&amp;"|"&amp;B15)</x:f>
      </x:c>
      <x:c r="B15"/>
      <x:c r="C15"/>
      <x:c r="D15"/>
      <x:c r="E15"/>
    </x:row>
    <x:row r="16">
      <x:c r="A16" t="str">
        <x:f>IF(OR(B16="",C16=""),"",C16&amp;"|"&amp;B16)</x:f>
      </x:c>
      <x:c r="B16"/>
      <x:c r="C16"/>
      <x:c r="D16"/>
      <x:c r="E16"/>
    </x:row>
    <x:row r="17">
      <x:c r="A17" t="str">
        <x:f>IF(OR(B17="",C17=""),"",C17&amp;"|"&amp;B17)</x:f>
      </x:c>
      <x:c r="B17"/>
      <x:c r="C17"/>
      <x:c r="D17"/>
      <x:c r="E17"/>
    </x:row>
    <x:row r="18">
      <x:c r="A18" t="str">
        <x:f>IF(OR(B18="",C18=""),"",C18&amp;"|"&amp;B18)</x:f>
      </x:c>
      <x:c r="B18"/>
      <x:c r="C18"/>
      <x:c r="D18"/>
      <x:c r="E18"/>
    </x:row>
    <x:row r="19">
      <x:c r="A19" t="str">
        <x:f>IF(OR(B19="",C19=""),"",C19&amp;"|"&amp;B19)</x:f>
      </x:c>
      <x:c r="B19"/>
      <x:c r="C19"/>
      <x:c r="D19"/>
      <x:c r="E19"/>
    </x:row>
    <x:row r="20">
      <x:c r="A20" t="str">
        <x:f>IF(OR(B20="",C20=""),"",C20&amp;"|"&amp;B20)</x:f>
      </x:c>
      <x:c r="B20"/>
      <x:c r="C20"/>
      <x:c r="D20"/>
      <x:c r="E20"/>
    </x:row>
    <x:row r="21">
      <x:c r="A21" t="str">
        <x:f>IF(OR(B21="",C21=""),"",C21&amp;"|"&amp;B21)</x:f>
      </x:c>
      <x:c r="B21"/>
      <x:c r="C21"/>
      <x:c r="D21"/>
      <x:c r="E21"/>
    </x:row>
    <x:row r="22">
      <x:c r="A22" t="str">
        <x:f>IF(OR(B22="",C22=""),"",C22&amp;"|"&amp;B22)</x:f>
      </x:c>
      <x:c r="B22"/>
      <x:c r="C22"/>
      <x:c r="D22"/>
      <x:c r="E22"/>
    </x:row>
    <x:row r="23">
      <x:c r="A23" t="str">
        <x:f>IF(OR(B23="",C23=""),"",C23&amp;"|"&amp;B23)</x:f>
      </x:c>
      <x:c r="B23"/>
      <x:c r="C23"/>
      <x:c r="D23"/>
      <x:c r="E23"/>
    </x:row>
    <x:row r="24">
      <x:c r="A24" t="str">
        <x:f>IF(OR(B24="",C24=""),"",C24&amp;"|"&amp;B24)</x:f>
      </x:c>
      <x:c r="B24"/>
      <x:c r="C24"/>
      <x:c r="D24"/>
      <x:c r="E24"/>
    </x:row>
    <x:row r="25">
      <x:c r="A25" t="str">
        <x:f>IF(OR(B25="",C25=""),"",C25&amp;"|"&amp;B25)</x:f>
      </x:c>
      <x:c r="B25"/>
      <x:c r="C25"/>
      <x:c r="D25"/>
      <x:c r="E25"/>
    </x:row>
    <x:row r="26">
      <x:c r="A26" t="str">
        <x:f>IF(OR(B26="",C26=""),"",C26&amp;"|"&amp;B26)</x:f>
      </x:c>
      <x:c r="B26"/>
      <x:c r="C26"/>
      <x:c r="D26"/>
      <x:c r="E26"/>
    </x:row>
    <x:row r="27">
      <x:c r="A27" t="str">
        <x:f>IF(OR(B27="",C27=""),"",C27&amp;"|"&amp;B27)</x:f>
      </x:c>
      <x:c r="B27"/>
      <x:c r="C27"/>
      <x:c r="D27"/>
      <x:c r="E27"/>
    </x:row>
    <x:row r="28">
      <x:c r="A28" t="str">
        <x:f>IF(OR(B28="",C28=""),"",C28&amp;"|"&amp;B28)</x:f>
      </x:c>
      <x:c r="B28"/>
      <x:c r="C28"/>
      <x:c r="D28"/>
      <x:c r="E28"/>
    </x:row>
    <x:row r="29">
      <x:c r="A29" t="str">
        <x:f>IF(OR(B29="",C29=""),"",C29&amp;"|"&amp;B29)</x:f>
      </x:c>
      <x:c r="B29"/>
      <x:c r="C29"/>
      <x:c r="D29"/>
      <x:c r="E29"/>
    </x:row>
  </x:sheetData>
  <x:mergeCells>
    <x:mergeCell ref="A1:E1"/>
    <x:mergeCell ref="A2:E2"/>
  </x:mergeCells>
  <x:dataValidations count="1">
    <x:dataValidation type="list" sqref="E5:E29">
      <x:formula1>"Ready,Needs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44fb939716493c"/>
  </x:tableParts>
</x:worksheet>
</file>